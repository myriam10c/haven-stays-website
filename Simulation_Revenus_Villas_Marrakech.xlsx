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Villa 1 - 2ch" sheetId="2" state="visible" r:id="rId4"/>
    <sheet name="Villa 2 - 3ch" sheetId="3" state="visible" r:id="rId5"/>
    <sheet name="Villa 3 - 4ch" sheetId="4" state="visible" r:id="rId6"/>
    <sheet name="Villa 4 - 5ch" sheetId="5" state="visible" r:id="rId7"/>
    <sheet name="Synthese Portefeuill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<sst xmlns="http://schemas.openxmlformats.org/spreadsheetml/2006/main" count="192" uniqueCount="71">
  <si>
    <t xml:space="preserve">PARAMETRES &amp; HYPOTHESES - CONCIERGERIE MARRAKECH</t>
  </si>
  <si>
    <t xml:space="preserve">TAUX D'OCCUPATION ANNUEL MOYEN (MODIFIEZ CETTE CELLULE)</t>
  </si>
  <si>
    <t xml:space="preserve">Taux d'Occupation Annuel Moyen</t>
  </si>
  <si>
    <t xml:space="preserve">COEFFICIENTS DE SAISONNALITE (modifiables)</t>
  </si>
  <si>
    <t xml:space="preserve">Mois</t>
  </si>
  <si>
    <t xml:space="preserve">Coefficient saisonnier</t>
  </si>
  <si>
    <t xml:space="preserve">TO mensuel effectif</t>
  </si>
  <si>
    <t xml:space="preserve">Nuits occupees (sur 30j)</t>
  </si>
  <si>
    <t xml:space="preserve">Janvier</t>
  </si>
  <si>
    <t xml:space="preserve">Fevrier</t>
  </si>
  <si>
    <t xml:space="preserve">Mars</t>
  </si>
  <si>
    <t xml:space="preserve">Avril</t>
  </si>
  <si>
    <t xml:space="preserve">Mai</t>
  </si>
  <si>
    <t xml:space="preserve">Juin</t>
  </si>
  <si>
    <t xml:space="preserve">Juillet</t>
  </si>
  <si>
    <t xml:space="preserve">Aout</t>
  </si>
  <si>
    <t xml:space="preserve">Septembre</t>
  </si>
  <si>
    <t xml:space="preserve">Octobre</t>
  </si>
  <si>
    <t xml:space="preserve">Novembre</t>
  </si>
  <si>
    <t xml:space="preserve">Decembre</t>
  </si>
  <si>
    <t xml:space="preserve">TYPOLOGIES DE VILLAS (ADR modifiables)</t>
  </si>
  <si>
    <t xml:space="preserve">Type de villa</t>
  </si>
  <si>
    <t xml:space="preserve">ADR Haute Saison (MAD)</t>
  </si>
  <si>
    <t xml:space="preserve">ADR Basse Saison (MAD)</t>
  </si>
  <si>
    <t xml:space="preserve">ADR Moyen Pondere (MAD)</t>
  </si>
  <si>
    <t xml:space="preserve">Villa 2 chambres (piscine)</t>
  </si>
  <si>
    <t xml:space="preserve">Villa 3 chambres (piscine)</t>
  </si>
  <si>
    <t xml:space="preserve">Villa 4 chambres (piscine)</t>
  </si>
  <si>
    <t xml:space="preserve">Villa 5 chambres (piscine, premium)</t>
  </si>
  <si>
    <t xml:space="preserve">STRUCTURE DE COMMISSION (modifiable)</t>
  </si>
  <si>
    <t xml:space="preserve">Formule Essentielle (staff proprio)</t>
  </si>
  <si>
    <t xml:space="preserve">Formule Signature (notre staff + pdj)</t>
  </si>
  <si>
    <t xml:space="preserve">Revenus upsells moyens / bien / mois (MAD)</t>
  </si>
  <si>
    <t xml:space="preserve">Cout staff + pdj / bien / mois (MAD) - Formule Signature</t>
  </si>
  <si>
    <t xml:space="preserve">ESTIMATION DE REVENUS - VILLA 2 CHAMBRES (PISCINE)</t>
  </si>
  <si>
    <t xml:space="preserve">TO Annuel Moyen utilise :</t>
  </si>
  <si>
    <t xml:space="preserve">Indicateur</t>
  </si>
  <si>
    <t xml:space="preserve">TOTAL ANNUEL</t>
  </si>
  <si>
    <t xml:space="preserve">ADR du mois (MAD)</t>
  </si>
  <si>
    <t xml:space="preserve">Taux d'occupation effectif</t>
  </si>
  <si>
    <t xml:space="preserve">Nuits occupees</t>
  </si>
  <si>
    <t xml:space="preserve">FORMULE ESSENTIELLE (18% - Staff du proprietaire)</t>
  </si>
  <si>
    <t xml:space="preserve">Revenu locatif brut (MAD)</t>
  </si>
  <si>
    <t xml:space="preserve">Commission agence 18% (MAD)</t>
  </si>
  <si>
    <t xml:space="preserve">Revenu net proprietaire (MAD)</t>
  </si>
  <si>
    <t xml:space="preserve">Revenus upsells agence (MAD)</t>
  </si>
  <si>
    <t xml:space="preserve">CA TOTAL AGENCE sur ce bien (MAD)</t>
  </si>
  <si>
    <t xml:space="preserve">FORMULE SIGNATURE (25% - Notre staff + petit-dejeuner inclus)</t>
  </si>
  <si>
    <t xml:space="preserve">Commission agence 25% (MAD)</t>
  </si>
  <si>
    <t xml:space="preserve">Cout staff + petit-dejeuner (MAD)</t>
  </si>
  <si>
    <t xml:space="preserve">MARGE NETTE AGENCE sur ce bien (MAD)</t>
  </si>
  <si>
    <t xml:space="preserve">CA TOTAL AGENCE brut (MAD)</t>
  </si>
  <si>
    <t xml:space="preserve">COMPARAISON FORMULES</t>
  </si>
  <si>
    <t xml:space="preserve">Delta revenu proprio (Signature vs Essentielle)</t>
  </si>
  <si>
    <t xml:space="preserve">Delta CA agence (Signature net vs Essentielle)</t>
  </si>
  <si>
    <t xml:space="preserve">ESTIMATION DE REVENUS - VILLA 3 CHAMBRES (PISCINE)</t>
  </si>
  <si>
    <t xml:space="preserve">ESTIMATION DE REVENUS - VILLA 4 CHAMBRES (PISCINE)</t>
  </si>
  <si>
    <t xml:space="preserve">ESTIMATION DE REVENUS - VILLA 5 CHAMBRES (PISCINE, PREMIUM)</t>
  </si>
  <si>
    <t xml:space="preserve">SYNTHESE ANNUELLE PAR TYPE DE VILLA</t>
  </si>
  <si>
    <t xml:space="preserve">Revenu locatif brut annuel</t>
  </si>
  <si>
    <t xml:space="preserve">CA Agence Essentielle (18%)</t>
  </si>
  <si>
    <t xml:space="preserve">CA Agence Signature net (25%-couts)</t>
  </si>
  <si>
    <t xml:space="preserve">Revenu net proprio (18%)</t>
  </si>
  <si>
    <t xml:space="preserve">Revenu net proprio (25%)</t>
  </si>
  <si>
    <t xml:space="preserve">Villa 2 chambres</t>
  </si>
  <si>
    <t xml:space="preserve">Villa 3 chambres</t>
  </si>
  <si>
    <t xml:space="preserve">Villa 4 chambres</t>
  </si>
  <si>
    <t xml:space="preserve">Villa 5 chambres premium</t>
  </si>
  <si>
    <t xml:space="preserve">TOTAL (si 1 de chaque type = 4 biens)</t>
  </si>
  <si>
    <t xml:space="preserve">Modifiez le Taux d'Occupation dans l'onglet 'Hypotheses' cellule B4 pour voir l'impact sur tous les calculs</t>
  </si>
  <si>
    <t xml:space="preserve">Les cellules en bleu sont des hypotheses modifiables. Les cellules en noir sont des formules calculees automatiquement.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</si>
</sst>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0.00"/>
    <numFmt numFmtId="167" formatCode="0.0"/>
    <numFmt numFmtId="168" formatCode="#,##0&quot; MAD&quot;"/>
    <numFmt numFmtId="169" formatCode="0%"/>
    <numFmt numFmtId="170" formatCode="#,##0"/>
    <numFmt numFmtId="171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4F7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0000FF"/>
      <name val="Arial"/>
      <family val="0"/>
      <charset val="1"/>
    </font>
    <font>
      <b val="true"/>
      <sz val="18"/>
      <color rgb="FF0000FF"/>
      <name val="Arial"/>
      <family val="0"/>
      <charset val="1"/>
    </font>
    <font>
      <b val="true"/>
      <sz val="11"/>
      <color rgb="FF1B4F72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3"/>
      <color rgb="FF1B4F72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2E75B6"/>
      <name val="Arial"/>
      <family val="0"/>
      <charset val="1"/>
    </font>
    <font>
      <b val="true"/>
      <sz val="12"/>
      <color rgb="FF1B4F72"/>
      <name val="Arial"/>
      <family val="0"/>
      <charset val="1"/>
    </font>
    <font>
      <b val="true"/>
      <sz val="12"/>
      <color rgb="FF27AE60"/>
      <name val="Arial"/>
      <family val="0"/>
      <charset val="1"/>
    </font>
    <font>
      <b val="true"/>
      <sz val="11"/>
      <color rgb="FF27AE6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color rgb="FF8E44AD"/>
      <name val="Arial"/>
      <family val="0"/>
      <charset val="1"/>
    </font>
    <font>
      <b val="true"/>
      <sz val="11"/>
      <color rgb="FF8E44AD"/>
      <name val="Arial"/>
      <family val="0"/>
      <charset val="1"/>
    </font>
    <font>
      <i val="true"/>
      <sz val="11"/>
      <color rgb="FFCC0000"/>
      <name val="Arial"/>
      <family val="0"/>
      <charset val="1"/>
    </font>
    <font>
      <i val="true"/>
      <sz val="10"/>
      <color rgb="FF666666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B4F72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D5F5E3"/>
      </patternFill>
    </fill>
    <fill>
      <patternFill patternType="solid">
        <fgColor rgb="FFF2F7FB"/>
        <bgColor rgb="FFF4ECF7"/>
      </patternFill>
    </fill>
    <fill>
      <patternFill patternType="solid">
        <fgColor rgb="FFFFFFFF"/>
        <bgColor rgb="FFF2F7FB"/>
      </patternFill>
    </fill>
    <fill>
      <patternFill patternType="solid">
        <fgColor rgb="FFD5F5E3"/>
        <bgColor rgb="FFCCFFFF"/>
      </patternFill>
    </fill>
    <fill>
      <patternFill patternType="solid">
        <fgColor rgb="FFF4ECF7"/>
        <bgColor rgb="FFF2F7F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8E44AD"/>
      <rgbColor rgb="FFF2F7FB"/>
      <rgbColor rgb="FFF4ECF7"/>
      <rgbColor rgb="FF660066"/>
      <rgbColor rgb="FFE74C3C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67E22"/>
      <rgbColor rgb="FF666666"/>
      <rgbColor rgb="FF969696"/>
      <rgbColor rgb="FF1B4F72"/>
      <rgbColor rgb="FF27AE6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F72"/>
    <pageSetUpPr fitToPage="false"/>
  </sheetPr>
  <dimension ref="A1:D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2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true" outlineLevel="0" collapsed="false">
      <c r="A3" s="2" t="s">
        <v>1</v>
      </c>
      <c r="B3" s="2"/>
      <c r="C3" s="2"/>
      <c r="D3" s="2"/>
    </row>
    <row r="4" customFormat="false" ht="22.05" hidden="false" customHeight="false" outlineLevel="0" collapsed="false">
      <c r="A4" s="3" t="s">
        <v>2</v>
      </c>
      <c r="B4" s="4" t="n">
        <v>0.5</v>
      </c>
      <c r="C4" s="4"/>
      <c r="D4" s="4"/>
    </row>
    <row r="6" customFormat="false" ht="15" hidden="false" customHeight="true" outlineLevel="0" collapsed="false">
      <c r="A6" s="2" t="s">
        <v>3</v>
      </c>
      <c r="B6" s="2"/>
      <c r="C6" s="2"/>
      <c r="D6" s="2"/>
    </row>
    <row r="7" customFormat="false" ht="15" hidden="false" customHeight="false" outlineLevel="0" collapsed="false">
      <c r="A7" s="5" t="s">
        <v>4</v>
      </c>
      <c r="B7" s="6" t="s">
        <v>5</v>
      </c>
      <c r="C7" s="6" t="s">
        <v>6</v>
      </c>
      <c r="D7" s="6" t="s">
        <v>7</v>
      </c>
    </row>
    <row r="8" customFormat="false" ht="15" hidden="false" customHeight="false" outlineLevel="0" collapsed="false">
      <c r="A8" s="7" t="s">
        <v>8</v>
      </c>
      <c r="B8" s="8" t="n">
        <v>0.9</v>
      </c>
      <c r="C8" s="9" t="n">
        <f aca="false">MIN($B$4*B8,0.95)</f>
        <v>0.45</v>
      </c>
      <c r="D8" s="10" t="n">
        <f aca="false">ROUND(C8*30,0)</f>
        <v>14</v>
      </c>
    </row>
    <row r="9" customFormat="false" ht="15" hidden="false" customHeight="false" outlineLevel="0" collapsed="false">
      <c r="A9" s="11" t="s">
        <v>9</v>
      </c>
      <c r="B9" s="12" t="n">
        <v>0.85</v>
      </c>
      <c r="C9" s="13" t="n">
        <f aca="false">MIN($B$4*B9,0.95)</f>
        <v>0.425</v>
      </c>
      <c r="D9" s="14" t="n">
        <f aca="false">ROUND(C9*30,0)</f>
        <v>13</v>
      </c>
    </row>
    <row r="10" customFormat="false" ht="15" hidden="false" customHeight="false" outlineLevel="0" collapsed="false">
      <c r="A10" s="7" t="s">
        <v>10</v>
      </c>
      <c r="B10" s="8" t="n">
        <v>1.15</v>
      </c>
      <c r="C10" s="9" t="n">
        <f aca="false">MIN($B$4*B10,0.95)</f>
        <v>0.575</v>
      </c>
      <c r="D10" s="10" t="n">
        <f aca="false">ROUND(C10*30,0)</f>
        <v>17</v>
      </c>
    </row>
    <row r="11" customFormat="false" ht="15" hidden="false" customHeight="false" outlineLevel="0" collapsed="false">
      <c r="A11" s="11" t="s">
        <v>11</v>
      </c>
      <c r="B11" s="12" t="n">
        <v>1.25</v>
      </c>
      <c r="C11" s="13" t="n">
        <f aca="false">MIN($B$4*B11,0.95)</f>
        <v>0.625</v>
      </c>
      <c r="D11" s="14" t="n">
        <f aca="false">ROUND(C11*30,0)</f>
        <v>19</v>
      </c>
    </row>
    <row r="12" customFormat="false" ht="15" hidden="false" customHeight="false" outlineLevel="0" collapsed="false">
      <c r="A12" s="7" t="s">
        <v>12</v>
      </c>
      <c r="B12" s="8" t="n">
        <v>1.05</v>
      </c>
      <c r="C12" s="9" t="n">
        <f aca="false">MIN($B$4*B12,0.95)</f>
        <v>0.525</v>
      </c>
      <c r="D12" s="10" t="n">
        <f aca="false">ROUND(C12*30,0)</f>
        <v>16</v>
      </c>
    </row>
    <row r="13" customFormat="false" ht="15" hidden="false" customHeight="false" outlineLevel="0" collapsed="false">
      <c r="A13" s="11" t="s">
        <v>13</v>
      </c>
      <c r="B13" s="12" t="n">
        <v>0.75</v>
      </c>
      <c r="C13" s="13" t="n">
        <f aca="false">MIN($B$4*B13,0.95)</f>
        <v>0.375</v>
      </c>
      <c r="D13" s="14" t="n">
        <f aca="false">ROUND(C13*30,0)</f>
        <v>11</v>
      </c>
    </row>
    <row r="14" customFormat="false" ht="15" hidden="false" customHeight="false" outlineLevel="0" collapsed="false">
      <c r="A14" s="7" t="s">
        <v>14</v>
      </c>
      <c r="B14" s="8" t="n">
        <v>0.65</v>
      </c>
      <c r="C14" s="9" t="n">
        <f aca="false">MIN($B$4*B14,0.95)</f>
        <v>0.325</v>
      </c>
      <c r="D14" s="10" t="n">
        <f aca="false">ROUND(C14*30,0)</f>
        <v>10</v>
      </c>
    </row>
    <row r="15" customFormat="false" ht="15" hidden="false" customHeight="false" outlineLevel="0" collapsed="false">
      <c r="A15" s="11" t="s">
        <v>15</v>
      </c>
      <c r="B15" s="12" t="n">
        <v>0.7</v>
      </c>
      <c r="C15" s="13" t="n">
        <f aca="false">MIN($B$4*B15,0.95)</f>
        <v>0.35</v>
      </c>
      <c r="D15" s="14" t="n">
        <f aca="false">ROUND(C15*30,0)</f>
        <v>11</v>
      </c>
    </row>
    <row r="16" customFormat="false" ht="15" hidden="false" customHeight="false" outlineLevel="0" collapsed="false">
      <c r="A16" s="7" t="s">
        <v>16</v>
      </c>
      <c r="B16" s="8" t="n">
        <v>0.6</v>
      </c>
      <c r="C16" s="9" t="n">
        <f aca="false">MIN($B$4*B16,0.95)</f>
        <v>0.3</v>
      </c>
      <c r="D16" s="10" t="n">
        <f aca="false">ROUND(C16*30,0)</f>
        <v>9</v>
      </c>
    </row>
    <row r="17" customFormat="false" ht="15" hidden="false" customHeight="false" outlineLevel="0" collapsed="false">
      <c r="A17" s="11" t="s">
        <v>17</v>
      </c>
      <c r="B17" s="12" t="n">
        <v>1.2</v>
      </c>
      <c r="C17" s="13" t="n">
        <f aca="false">MIN($B$4*B17,0.95)</f>
        <v>0.6</v>
      </c>
      <c r="D17" s="14" t="n">
        <f aca="false">ROUND(C17*30,0)</f>
        <v>18</v>
      </c>
    </row>
    <row r="18" customFormat="false" ht="15" hidden="false" customHeight="false" outlineLevel="0" collapsed="false">
      <c r="A18" s="7" t="s">
        <v>18</v>
      </c>
      <c r="B18" s="8" t="n">
        <v>1.15</v>
      </c>
      <c r="C18" s="9" t="n">
        <f aca="false">MIN($B$4*B18,0.95)</f>
        <v>0.575</v>
      </c>
      <c r="D18" s="10" t="n">
        <f aca="false">ROUND(C18*30,0)</f>
        <v>17</v>
      </c>
    </row>
    <row r="19" customFormat="false" ht="15" hidden="false" customHeight="false" outlineLevel="0" collapsed="false">
      <c r="A19" s="11" t="s">
        <v>19</v>
      </c>
      <c r="B19" s="12" t="n">
        <v>0.95</v>
      </c>
      <c r="C19" s="13" t="n">
        <f aca="false">MIN($B$4*B19,0.95)</f>
        <v>0.475</v>
      </c>
      <c r="D19" s="14" t="n">
        <f aca="false">ROUND(C19*30,0)</f>
        <v>14</v>
      </c>
    </row>
    <row r="21" customFormat="false" ht="15" hidden="false" customHeight="true" outlineLevel="0" collapsed="false">
      <c r="A21" s="2" t="s">
        <v>20</v>
      </c>
      <c r="B21" s="2"/>
      <c r="C21" s="2"/>
      <c r="D21" s="2"/>
    </row>
    <row r="22" customFormat="false" ht="15" hidden="false" customHeight="false" outlineLevel="0" collapsed="false">
      <c r="A22" s="6" t="s">
        <v>21</v>
      </c>
      <c r="B22" s="6" t="s">
        <v>22</v>
      </c>
      <c r="C22" s="6" t="s">
        <v>23</v>
      </c>
      <c r="D22" s="6" t="s">
        <v>24</v>
      </c>
    </row>
    <row r="23" customFormat="false" ht="15" hidden="false" customHeight="false" outlineLevel="0" collapsed="false">
      <c r="A23" s="7" t="s">
        <v>25</v>
      </c>
      <c r="B23" s="15" t="n">
        <v>2000</v>
      </c>
      <c r="C23" s="15" t="n">
        <v>1200</v>
      </c>
      <c r="D23" s="16" t="n">
        <f aca="false">ROUND((B23*0.55+C23*0.45),0)</f>
        <v>1640</v>
      </c>
    </row>
    <row r="24" customFormat="false" ht="15" hidden="false" customHeight="false" outlineLevel="0" collapsed="false">
      <c r="A24" s="11" t="s">
        <v>26</v>
      </c>
      <c r="B24" s="17" t="n">
        <v>3000</v>
      </c>
      <c r="C24" s="17" t="n">
        <v>1800</v>
      </c>
      <c r="D24" s="18" t="n">
        <f aca="false">ROUND((B24*0.55+C24*0.45),0)</f>
        <v>2460</v>
      </c>
    </row>
    <row r="25" customFormat="false" ht="15" hidden="false" customHeight="false" outlineLevel="0" collapsed="false">
      <c r="A25" s="7" t="s">
        <v>27</v>
      </c>
      <c r="B25" s="15" t="n">
        <v>4500</v>
      </c>
      <c r="C25" s="15" t="n">
        <v>2700</v>
      </c>
      <c r="D25" s="16" t="n">
        <f aca="false">ROUND((B25*0.55+C25*0.45),0)</f>
        <v>3690</v>
      </c>
    </row>
    <row r="26" customFormat="false" ht="15" hidden="false" customHeight="false" outlineLevel="0" collapsed="false">
      <c r="A26" s="11" t="s">
        <v>28</v>
      </c>
      <c r="B26" s="17" t="n">
        <v>6500</v>
      </c>
      <c r="C26" s="17" t="n">
        <v>4000</v>
      </c>
      <c r="D26" s="18" t="n">
        <f aca="false">ROUND((B26*0.55+C26*0.45),0)</f>
        <v>5375</v>
      </c>
    </row>
    <row r="28" customFormat="false" ht="15" hidden="false" customHeight="true" outlineLevel="0" collapsed="false">
      <c r="A28" s="2" t="s">
        <v>29</v>
      </c>
      <c r="B28" s="2"/>
      <c r="C28" s="2"/>
      <c r="D28" s="2"/>
    </row>
    <row r="29" customFormat="false" ht="15" hidden="false" customHeight="false" outlineLevel="0" collapsed="false">
      <c r="A29" s="7" t="s">
        <v>30</v>
      </c>
      <c r="B29" s="19" t="n">
        <v>0.18</v>
      </c>
    </row>
    <row r="30" customFormat="false" ht="15" hidden="false" customHeight="false" outlineLevel="0" collapsed="false">
      <c r="A30" s="11" t="s">
        <v>31</v>
      </c>
      <c r="B30" s="19" t="n">
        <v>0.25</v>
      </c>
    </row>
    <row r="31" customFormat="false" ht="15" hidden="false" customHeight="false" outlineLevel="0" collapsed="false">
      <c r="A31" s="7" t="s">
        <v>32</v>
      </c>
      <c r="B31" s="20" t="n">
        <v>2500</v>
      </c>
    </row>
    <row r="32" customFormat="false" ht="15" hidden="false" customHeight="false" outlineLevel="0" collapsed="false">
      <c r="A32" s="11" t="s">
        <v>33</v>
      </c>
      <c r="B32" s="20" t="n">
        <v>7000</v>
      </c>
    </row>
  </sheetData>
  <mergeCells count="6">
    <mergeCell ref="A1:D1"/>
    <mergeCell ref="A3:D3"/>
    <mergeCell ref="B4:D4"/>
    <mergeCell ref="A6:D6"/>
    <mergeCell ref="A21:D21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15" min="2" style="0" width="16"/>
  </cols>
  <sheetData>
    <row r="1" customFormat="false" ht="16.15" hidden="false" customHeight="false" outlineLevel="0" collapsed="false">
      <c r="A1" s="21" t="s">
        <v>34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customFormat="false" ht="15" hidden="false" customHeight="false" outlineLevel="0" collapsed="false">
      <c r="A2" s="22" t="s">
        <v>35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</row>
    <row r="4" customFormat="false" ht="26.85" hidden="false" customHeight="false" outlineLevel="0" collapsed="false">
      <c r="A4" s="2" t="s">
        <v>36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  <c r="G4" s="2" t="s">
        <v>13</v>
      </c>
      <c r="H4" s="2" t="s">
        <v>14</v>
      </c>
      <c r="I4" s="2" t="s">
        <v>15</v>
      </c>
      <c r="J4" s="2" t="s">
        <v>16</v>
      </c>
      <c r="K4" s="2" t="s">
        <v>17</v>
      </c>
      <c r="L4" s="2" t="s">
        <v>18</v>
      </c>
      <c r="M4" s="2" t="s">
        <v>19</v>
      </c>
      <c r="N4" s="2" t="s">
        <v>37</v>
      </c>
    </row>
    <row r="5" customFormat="false" ht="15" hidden="false" customHeight="false" outlineLevel="0" collapsed="false">
      <c r="A5" s="5" t="s">
        <v>38</v>
      </c>
      <c r="B5" s="23" t="n">
        <f aca="false">ROUND(Hypotheses!C23+(Hypotheses!B23-Hypotheses!C23)*(Hypotheses!B8-0.6)/(1.25-0.6),0)</f>
        <v>1569</v>
      </c>
      <c r="C5" s="24" t="n">
        <f aca="false">ROUND(Hypotheses!C23+(Hypotheses!B23-Hypotheses!C23)*(Hypotheses!B9-0.6)/(1.25-0.6),0)</f>
        <v>1508</v>
      </c>
      <c r="D5" s="23" t="n">
        <f aca="false">ROUND(Hypotheses!C23+(Hypotheses!B23-Hypotheses!C23)*(Hypotheses!B10-0.6)/(1.25-0.6),0)</f>
        <v>1877</v>
      </c>
      <c r="E5" s="24" t="n">
        <f aca="false">ROUND(Hypotheses!C23+(Hypotheses!B23-Hypotheses!C23)*(Hypotheses!B11-0.6)/(1.25-0.6),0)</f>
        <v>2000</v>
      </c>
      <c r="F5" s="23" t="n">
        <f aca="false">ROUND(Hypotheses!C23+(Hypotheses!B23-Hypotheses!C23)*(Hypotheses!B12-0.6)/(1.25-0.6),0)</f>
        <v>1754</v>
      </c>
      <c r="G5" s="24" t="n">
        <f aca="false">ROUND(Hypotheses!C23+(Hypotheses!B23-Hypotheses!C23)*(Hypotheses!B13-0.6)/(1.25-0.6),0)</f>
        <v>1385</v>
      </c>
      <c r="H5" s="23" t="n">
        <f aca="false">ROUND(Hypotheses!C23+(Hypotheses!B23-Hypotheses!C23)*(Hypotheses!B14-0.6)/(1.25-0.6),0)</f>
        <v>1262</v>
      </c>
      <c r="I5" s="24" t="n">
        <f aca="false">ROUND(Hypotheses!C23+(Hypotheses!B23-Hypotheses!C23)*(Hypotheses!B15-0.6)/(1.25-0.6),0)</f>
        <v>1323</v>
      </c>
      <c r="J5" s="23" t="n">
        <f aca="false">ROUND(Hypotheses!C23+(Hypotheses!B23-Hypotheses!C23)*(Hypotheses!B16-0.6)/(1.25-0.6),0)</f>
        <v>1200</v>
      </c>
      <c r="K5" s="24" t="n">
        <f aca="false">ROUND(Hypotheses!C23+(Hypotheses!B23-Hypotheses!C23)*(Hypotheses!B17-0.6)/(1.25-0.6),0)</f>
        <v>1938</v>
      </c>
      <c r="L5" s="23" t="n">
        <f aca="false">ROUND(Hypotheses!C23+(Hypotheses!B23-Hypotheses!C23)*(Hypotheses!B18-0.6)/(1.25-0.6),0)</f>
        <v>1877</v>
      </c>
      <c r="M5" s="24" t="n">
        <f aca="false">ROUND(Hypotheses!C23+(Hypotheses!B23-Hypotheses!C23)*(Hypotheses!B19-0.6)/(1.25-0.6),0)</f>
        <v>1631</v>
      </c>
      <c r="N5" s="25" t="n">
        <f aca="false">ROUND(AVERAGE(B5:M5),0)</f>
        <v>1610</v>
      </c>
    </row>
    <row r="6" customFormat="false" ht="15" hidden="false" customHeight="false" outlineLevel="0" collapsed="false">
      <c r="A6" s="5" t="s">
        <v>39</v>
      </c>
      <c r="B6" s="9" t="n">
        <f aca="false">Hypotheses!C8</f>
        <v>0.45</v>
      </c>
      <c r="C6" s="13" t="n">
        <f aca="false">Hypotheses!C9</f>
        <v>0.425</v>
      </c>
      <c r="D6" s="9" t="n">
        <f aca="false">Hypotheses!C10</f>
        <v>0.575</v>
      </c>
      <c r="E6" s="13" t="n">
        <f aca="false">Hypotheses!C11</f>
        <v>0.625</v>
      </c>
      <c r="F6" s="9" t="n">
        <f aca="false">Hypotheses!C12</f>
        <v>0.525</v>
      </c>
      <c r="G6" s="13" t="n">
        <f aca="false">Hypotheses!C13</f>
        <v>0.375</v>
      </c>
      <c r="H6" s="9" t="n">
        <f aca="false">Hypotheses!C14</f>
        <v>0.325</v>
      </c>
      <c r="I6" s="13" t="n">
        <f aca="false">Hypotheses!C15</f>
        <v>0.35</v>
      </c>
      <c r="J6" s="9" t="n">
        <f aca="false">Hypotheses!C16</f>
        <v>0.3</v>
      </c>
      <c r="K6" s="13" t="n">
        <f aca="false">Hypotheses!C17</f>
        <v>0.6</v>
      </c>
      <c r="L6" s="9" t="n">
        <f aca="false">Hypotheses!C18</f>
        <v>0.575</v>
      </c>
      <c r="M6" s="13" t="n">
        <f aca="false">Hypotheses!C19</f>
        <v>0.475</v>
      </c>
      <c r="N6" s="26" t="n">
        <f aca="false">AVERAGE(B6:M6)</f>
        <v>0.466666666666667</v>
      </c>
    </row>
    <row r="7" customFormat="false" ht="15" hidden="false" customHeight="false" outlineLevel="0" collapsed="false">
      <c r="A7" s="5" t="s">
        <v>40</v>
      </c>
      <c r="B7" s="27" t="n">
        <f aca="false">Hypotheses!D8</f>
        <v>14</v>
      </c>
      <c r="C7" s="28" t="n">
        <f aca="false">Hypotheses!D9</f>
        <v>13</v>
      </c>
      <c r="D7" s="27" t="n">
        <f aca="false">Hypotheses!D10</f>
        <v>17</v>
      </c>
      <c r="E7" s="28" t="n">
        <f aca="false">Hypotheses!D11</f>
        <v>19</v>
      </c>
      <c r="F7" s="27" t="n">
        <f aca="false">Hypotheses!D12</f>
        <v>16</v>
      </c>
      <c r="G7" s="28" t="n">
        <f aca="false">Hypotheses!D13</f>
        <v>11</v>
      </c>
      <c r="H7" s="27" t="n">
        <f aca="false">Hypotheses!D14</f>
        <v>10</v>
      </c>
      <c r="I7" s="28" t="n">
        <f aca="false">Hypotheses!D15</f>
        <v>11</v>
      </c>
      <c r="J7" s="27" t="n">
        <f aca="false">Hypotheses!D16</f>
        <v>9</v>
      </c>
      <c r="K7" s="28" t="n">
        <f aca="false">Hypotheses!D17</f>
        <v>18</v>
      </c>
      <c r="L7" s="27" t="n">
        <f aca="false">Hypotheses!D18</f>
        <v>17</v>
      </c>
      <c r="M7" s="28" t="n">
        <f aca="false">Hypotheses!D19</f>
        <v>14</v>
      </c>
      <c r="N7" s="29" t="n">
        <f aca="false">SUM(B7:M7)</f>
        <v>169</v>
      </c>
    </row>
    <row r="8" customFormat="false" ht="15" hidden="false" customHeight="false" outlineLevel="0" collapsed="false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</row>
    <row r="9" customFormat="false" ht="15" hidden="false" customHeight="false" outlineLevel="0" collapsed="false">
      <c r="A9" s="31" t="s">
        <v>41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</row>
    <row r="10" customFormat="false" ht="15" hidden="false" customHeight="false" outlineLevel="0" collapsed="false">
      <c r="A10" s="32" t="s">
        <v>42</v>
      </c>
      <c r="B10" s="23" t="n">
        <f aca="false">B5*B7</f>
        <v>21966</v>
      </c>
      <c r="C10" s="24" t="n">
        <f aca="false">C5*C7</f>
        <v>19604</v>
      </c>
      <c r="D10" s="23" t="n">
        <f aca="false">D5*D7</f>
        <v>31909</v>
      </c>
      <c r="E10" s="24" t="n">
        <f aca="false">E5*E7</f>
        <v>38000</v>
      </c>
      <c r="F10" s="23" t="n">
        <f aca="false">F5*F7</f>
        <v>28064</v>
      </c>
      <c r="G10" s="24" t="n">
        <f aca="false">G5*G7</f>
        <v>15235</v>
      </c>
      <c r="H10" s="23" t="n">
        <f aca="false">H5*H7</f>
        <v>12620</v>
      </c>
      <c r="I10" s="24" t="n">
        <f aca="false">I5*I7</f>
        <v>14553</v>
      </c>
      <c r="J10" s="23" t="n">
        <f aca="false">J5*J7</f>
        <v>10800</v>
      </c>
      <c r="K10" s="24" t="n">
        <f aca="false">K5*K7</f>
        <v>34884</v>
      </c>
      <c r="L10" s="23" t="n">
        <f aca="false">L5*L7</f>
        <v>31909</v>
      </c>
      <c r="M10" s="24" t="n">
        <f aca="false">M5*M7</f>
        <v>22834</v>
      </c>
      <c r="N10" s="25" t="n">
        <f aca="false">SUM(B10:M10)</f>
        <v>282378</v>
      </c>
    </row>
    <row r="11" customFormat="false" ht="15" hidden="false" customHeight="false" outlineLevel="0" collapsed="false">
      <c r="A11" s="32" t="s">
        <v>43</v>
      </c>
      <c r="B11" s="23" t="n">
        <f aca="false">B10*Hypotheses!$B$29</f>
        <v>3953.88</v>
      </c>
      <c r="C11" s="24" t="n">
        <f aca="false">C10*Hypotheses!$B$29</f>
        <v>3528.72</v>
      </c>
      <c r="D11" s="23" t="n">
        <f aca="false">D10*Hypotheses!$B$29</f>
        <v>5743.62</v>
      </c>
      <c r="E11" s="24" t="n">
        <f aca="false">E10*Hypotheses!$B$29</f>
        <v>6840</v>
      </c>
      <c r="F11" s="23" t="n">
        <f aca="false">F10*Hypotheses!$B$29</f>
        <v>5051.52</v>
      </c>
      <c r="G11" s="24" t="n">
        <f aca="false">G10*Hypotheses!$B$29</f>
        <v>2742.3</v>
      </c>
      <c r="H11" s="23" t="n">
        <f aca="false">H10*Hypotheses!$B$29</f>
        <v>2271.6</v>
      </c>
      <c r="I11" s="24" t="n">
        <f aca="false">I10*Hypotheses!$B$29</f>
        <v>2619.54</v>
      </c>
      <c r="J11" s="23" t="n">
        <f aca="false">J10*Hypotheses!$B$29</f>
        <v>1944</v>
      </c>
      <c r="K11" s="24" t="n">
        <f aca="false">K10*Hypotheses!$B$29</f>
        <v>6279.12</v>
      </c>
      <c r="L11" s="23" t="n">
        <f aca="false">L10*Hypotheses!$B$29</f>
        <v>5743.62</v>
      </c>
      <c r="M11" s="24" t="n">
        <f aca="false">M10*Hypotheses!$B$29</f>
        <v>4110.12</v>
      </c>
      <c r="N11" s="25" t="n">
        <f aca="false">SUM(B11:M11)</f>
        <v>50828.04</v>
      </c>
    </row>
    <row r="12" customFormat="false" ht="15" hidden="false" customHeight="false" outlineLevel="0" collapsed="false">
      <c r="A12" s="33" t="s">
        <v>44</v>
      </c>
      <c r="B12" s="34" t="n">
        <f aca="false">B10-B11</f>
        <v>18012.12</v>
      </c>
      <c r="C12" s="35" t="n">
        <f aca="false">C10-C11</f>
        <v>16075.28</v>
      </c>
      <c r="D12" s="34" t="n">
        <f aca="false">D10-D11</f>
        <v>26165.38</v>
      </c>
      <c r="E12" s="35" t="n">
        <f aca="false">E10-E11</f>
        <v>31160</v>
      </c>
      <c r="F12" s="34" t="n">
        <f aca="false">F10-F11</f>
        <v>23012.48</v>
      </c>
      <c r="G12" s="35" t="n">
        <f aca="false">G10-G11</f>
        <v>12492.7</v>
      </c>
      <c r="H12" s="34" t="n">
        <f aca="false">H10-H11</f>
        <v>10348.4</v>
      </c>
      <c r="I12" s="35" t="n">
        <f aca="false">I10-I11</f>
        <v>11933.46</v>
      </c>
      <c r="J12" s="34" t="n">
        <f aca="false">J10-J11</f>
        <v>8856</v>
      </c>
      <c r="K12" s="35" t="n">
        <f aca="false">K10-K11</f>
        <v>28604.88</v>
      </c>
      <c r="L12" s="34" t="n">
        <f aca="false">L10-L11</f>
        <v>26165.38</v>
      </c>
      <c r="M12" s="35" t="n">
        <f aca="false">M10-M11</f>
        <v>18723.88</v>
      </c>
      <c r="N12" s="36" t="n">
        <f aca="false">SUM(B12:M12)</f>
        <v>231549.96</v>
      </c>
    </row>
    <row r="13" customFormat="false" ht="15" hidden="false" customHeight="false" outlineLevel="0" collapsed="false">
      <c r="A13" s="32" t="s">
        <v>45</v>
      </c>
      <c r="B13" s="23" t="n">
        <f aca="false">ROUND(Hypotheses!$B$31*B6/Hypotheses!$B$4,0)</f>
        <v>2250</v>
      </c>
      <c r="C13" s="24" t="n">
        <f aca="false">ROUND(Hypotheses!$B$31*C6/Hypotheses!$B$4,0)</f>
        <v>2125</v>
      </c>
      <c r="D13" s="23" t="n">
        <f aca="false">ROUND(Hypotheses!$B$31*D6/Hypotheses!$B$4,0)</f>
        <v>2875</v>
      </c>
      <c r="E13" s="24" t="n">
        <f aca="false">ROUND(Hypotheses!$B$31*E6/Hypotheses!$B$4,0)</f>
        <v>3125</v>
      </c>
      <c r="F13" s="23" t="n">
        <f aca="false">ROUND(Hypotheses!$B$31*F6/Hypotheses!$B$4,0)</f>
        <v>2625</v>
      </c>
      <c r="G13" s="24" t="n">
        <f aca="false">ROUND(Hypotheses!$B$31*G6/Hypotheses!$B$4,0)</f>
        <v>1875</v>
      </c>
      <c r="H13" s="23" t="n">
        <f aca="false">ROUND(Hypotheses!$B$31*H6/Hypotheses!$B$4,0)</f>
        <v>1625</v>
      </c>
      <c r="I13" s="24" t="n">
        <f aca="false">ROUND(Hypotheses!$B$31*I6/Hypotheses!$B$4,0)</f>
        <v>1750</v>
      </c>
      <c r="J13" s="23" t="n">
        <f aca="false">ROUND(Hypotheses!$B$31*J6/Hypotheses!$B$4,0)</f>
        <v>1500</v>
      </c>
      <c r="K13" s="24" t="n">
        <f aca="false">ROUND(Hypotheses!$B$31*K6/Hypotheses!$B$4,0)</f>
        <v>3000</v>
      </c>
      <c r="L13" s="23" t="n">
        <f aca="false">ROUND(Hypotheses!$B$31*L6/Hypotheses!$B$4,0)</f>
        <v>2875</v>
      </c>
      <c r="M13" s="24" t="n">
        <f aca="false">ROUND(Hypotheses!$B$31*M6/Hypotheses!$B$4,0)</f>
        <v>2375</v>
      </c>
      <c r="N13" s="25" t="n">
        <f aca="false">SUM(B13:M13)</f>
        <v>28000</v>
      </c>
    </row>
    <row r="14" customFormat="false" ht="15" hidden="false" customHeight="false" outlineLevel="0" collapsed="false">
      <c r="A14" s="37" t="s">
        <v>46</v>
      </c>
      <c r="B14" s="38" t="n">
        <f aca="false">B11+B13</f>
        <v>6203.88</v>
      </c>
      <c r="C14" s="39" t="n">
        <f aca="false">C11+C13</f>
        <v>5653.72</v>
      </c>
      <c r="D14" s="38" t="n">
        <f aca="false">D11+D13</f>
        <v>8618.62</v>
      </c>
      <c r="E14" s="39" t="n">
        <f aca="false">E11+E13</f>
        <v>9965</v>
      </c>
      <c r="F14" s="38" t="n">
        <f aca="false">F11+F13</f>
        <v>7676.52</v>
      </c>
      <c r="G14" s="39" t="n">
        <f aca="false">G11+G13</f>
        <v>4617.3</v>
      </c>
      <c r="H14" s="38" t="n">
        <f aca="false">H11+H13</f>
        <v>3896.6</v>
      </c>
      <c r="I14" s="39" t="n">
        <f aca="false">I11+I13</f>
        <v>4369.54</v>
      </c>
      <c r="J14" s="38" t="n">
        <f aca="false">J11+J13</f>
        <v>3444</v>
      </c>
      <c r="K14" s="39" t="n">
        <f aca="false">K11+K13</f>
        <v>9279.12</v>
      </c>
      <c r="L14" s="38" t="n">
        <f aca="false">L11+L13</f>
        <v>8618.62</v>
      </c>
      <c r="M14" s="39" t="n">
        <f aca="false">M11+M13</f>
        <v>6485.12</v>
      </c>
      <c r="N14" s="40" t="n">
        <f aca="false">SUM(B14:M14)</f>
        <v>78828.04</v>
      </c>
    </row>
    <row r="16" customFormat="false" ht="15" hidden="false" customHeight="false" outlineLevel="0" collapsed="false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  <row r="17" customFormat="false" ht="15" hidden="false" customHeight="false" outlineLevel="0" collapsed="false">
      <c r="A17" s="41" t="s">
        <v>47</v>
      </c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</row>
    <row r="18" customFormat="false" ht="15" hidden="false" customHeight="false" outlineLevel="0" collapsed="false">
      <c r="A18" s="32" t="s">
        <v>42</v>
      </c>
      <c r="B18" s="23" t="n">
        <f aca="false">B10</f>
        <v>21966</v>
      </c>
      <c r="C18" s="24" t="n">
        <f aca="false">C10</f>
        <v>19604</v>
      </c>
      <c r="D18" s="23" t="n">
        <f aca="false">D10</f>
        <v>31909</v>
      </c>
      <c r="E18" s="24" t="n">
        <f aca="false">E10</f>
        <v>38000</v>
      </c>
      <c r="F18" s="23" t="n">
        <f aca="false">F10</f>
        <v>28064</v>
      </c>
      <c r="G18" s="24" t="n">
        <f aca="false">G10</f>
        <v>15235</v>
      </c>
      <c r="H18" s="23" t="n">
        <f aca="false">H10</f>
        <v>12620</v>
      </c>
      <c r="I18" s="24" t="n">
        <f aca="false">I10</f>
        <v>14553</v>
      </c>
      <c r="J18" s="23" t="n">
        <f aca="false">J10</f>
        <v>10800</v>
      </c>
      <c r="K18" s="24" t="n">
        <f aca="false">K10</f>
        <v>34884</v>
      </c>
      <c r="L18" s="23" t="n">
        <f aca="false">L10</f>
        <v>31909</v>
      </c>
      <c r="M18" s="24" t="n">
        <f aca="false">M10</f>
        <v>22834</v>
      </c>
      <c r="N18" s="25" t="n">
        <f aca="false">SUM(B18:M18)</f>
        <v>282378</v>
      </c>
    </row>
    <row r="19" customFormat="false" ht="15" hidden="false" customHeight="false" outlineLevel="0" collapsed="false">
      <c r="A19" s="32" t="s">
        <v>48</v>
      </c>
      <c r="B19" s="23" t="n">
        <f aca="false">B18*Hypotheses!$B$30</f>
        <v>5491.5</v>
      </c>
      <c r="C19" s="24" t="n">
        <f aca="false">C18*Hypotheses!$B$30</f>
        <v>4901</v>
      </c>
      <c r="D19" s="23" t="n">
        <f aca="false">D18*Hypotheses!$B$30</f>
        <v>7977.25</v>
      </c>
      <c r="E19" s="24" t="n">
        <f aca="false">E18*Hypotheses!$B$30</f>
        <v>9500</v>
      </c>
      <c r="F19" s="23" t="n">
        <f aca="false">F18*Hypotheses!$B$30</f>
        <v>7016</v>
      </c>
      <c r="G19" s="24" t="n">
        <f aca="false">G18*Hypotheses!$B$30</f>
        <v>3808.75</v>
      </c>
      <c r="H19" s="23" t="n">
        <f aca="false">H18*Hypotheses!$B$30</f>
        <v>3155</v>
      </c>
      <c r="I19" s="24" t="n">
        <f aca="false">I18*Hypotheses!$B$30</f>
        <v>3638.25</v>
      </c>
      <c r="J19" s="23" t="n">
        <f aca="false">J18*Hypotheses!$B$30</f>
        <v>2700</v>
      </c>
      <c r="K19" s="24" t="n">
        <f aca="false">K18*Hypotheses!$B$30</f>
        <v>8721</v>
      </c>
      <c r="L19" s="23" t="n">
        <f aca="false">L18*Hypotheses!$B$30</f>
        <v>7977.25</v>
      </c>
      <c r="M19" s="24" t="n">
        <f aca="false">M18*Hypotheses!$B$30</f>
        <v>5708.5</v>
      </c>
      <c r="N19" s="25" t="n">
        <f aca="false">SUM(B19:M19)</f>
        <v>70594.5</v>
      </c>
    </row>
    <row r="20" customFormat="false" ht="15" hidden="false" customHeight="false" outlineLevel="0" collapsed="false">
      <c r="A20" s="32" t="s">
        <v>49</v>
      </c>
      <c r="B20" s="23" t="n">
        <f aca="false">Hypotheses!$B$32</f>
        <v>7000</v>
      </c>
      <c r="C20" s="24" t="n">
        <f aca="false">Hypotheses!$B$32</f>
        <v>7000</v>
      </c>
      <c r="D20" s="23" t="n">
        <f aca="false">Hypotheses!$B$32</f>
        <v>7000</v>
      </c>
      <c r="E20" s="24" t="n">
        <f aca="false">Hypotheses!$B$32</f>
        <v>7000</v>
      </c>
      <c r="F20" s="23" t="n">
        <f aca="false">Hypotheses!$B$32</f>
        <v>7000</v>
      </c>
      <c r="G20" s="24" t="n">
        <f aca="false">Hypotheses!$B$32</f>
        <v>7000</v>
      </c>
      <c r="H20" s="23" t="n">
        <f aca="false">Hypotheses!$B$32</f>
        <v>7000</v>
      </c>
      <c r="I20" s="24" t="n">
        <f aca="false">Hypotheses!$B$32</f>
        <v>7000</v>
      </c>
      <c r="J20" s="23" t="n">
        <f aca="false">Hypotheses!$B$32</f>
        <v>7000</v>
      </c>
      <c r="K20" s="24" t="n">
        <f aca="false">Hypotheses!$B$32</f>
        <v>7000</v>
      </c>
      <c r="L20" s="23" t="n">
        <f aca="false">Hypotheses!$B$32</f>
        <v>7000</v>
      </c>
      <c r="M20" s="24" t="n">
        <f aca="false">Hypotheses!$B$32</f>
        <v>7000</v>
      </c>
      <c r="N20" s="25" t="n">
        <f aca="false">SUM(B20:M20)</f>
        <v>84000</v>
      </c>
    </row>
    <row r="21" customFormat="false" ht="15" hidden="false" customHeight="false" outlineLevel="0" collapsed="false">
      <c r="A21" s="33" t="s">
        <v>44</v>
      </c>
      <c r="B21" s="34" t="n">
        <f aca="false">B18-B19</f>
        <v>16474.5</v>
      </c>
      <c r="C21" s="35" t="n">
        <f aca="false">C18-C19</f>
        <v>14703</v>
      </c>
      <c r="D21" s="34" t="n">
        <f aca="false">D18-D19</f>
        <v>23931.75</v>
      </c>
      <c r="E21" s="35" t="n">
        <f aca="false">E18-E19</f>
        <v>28500</v>
      </c>
      <c r="F21" s="34" t="n">
        <f aca="false">F18-F19</f>
        <v>21048</v>
      </c>
      <c r="G21" s="35" t="n">
        <f aca="false">G18-G19</f>
        <v>11426.25</v>
      </c>
      <c r="H21" s="34" t="n">
        <f aca="false">H18-H19</f>
        <v>9465</v>
      </c>
      <c r="I21" s="35" t="n">
        <f aca="false">I18-I19</f>
        <v>10914.75</v>
      </c>
      <c r="J21" s="34" t="n">
        <f aca="false">J18-J19</f>
        <v>8100</v>
      </c>
      <c r="K21" s="35" t="n">
        <f aca="false">K18-K19</f>
        <v>26163</v>
      </c>
      <c r="L21" s="34" t="n">
        <f aca="false">L18-L19</f>
        <v>23931.75</v>
      </c>
      <c r="M21" s="35" t="n">
        <f aca="false">M18-M19</f>
        <v>17125.5</v>
      </c>
      <c r="N21" s="36" t="n">
        <f aca="false">SUM(B21:M21)</f>
        <v>211783.5</v>
      </c>
    </row>
    <row r="22" customFormat="false" ht="15" hidden="false" customHeight="false" outlineLevel="0" collapsed="false">
      <c r="A22" s="32" t="s">
        <v>45</v>
      </c>
      <c r="B22" s="23" t="n">
        <f aca="false">B13</f>
        <v>2250</v>
      </c>
      <c r="C22" s="24" t="n">
        <f aca="false">C13</f>
        <v>2125</v>
      </c>
      <c r="D22" s="23" t="n">
        <f aca="false">D13</f>
        <v>2875</v>
      </c>
      <c r="E22" s="24" t="n">
        <f aca="false">E13</f>
        <v>3125</v>
      </c>
      <c r="F22" s="23" t="n">
        <f aca="false">F13</f>
        <v>2625</v>
      </c>
      <c r="G22" s="24" t="n">
        <f aca="false">G13</f>
        <v>1875</v>
      </c>
      <c r="H22" s="23" t="n">
        <f aca="false">H13</f>
        <v>1625</v>
      </c>
      <c r="I22" s="24" t="n">
        <f aca="false">I13</f>
        <v>1750</v>
      </c>
      <c r="J22" s="23" t="n">
        <f aca="false">J13</f>
        <v>1500</v>
      </c>
      <c r="K22" s="24" t="n">
        <f aca="false">K13</f>
        <v>3000</v>
      </c>
      <c r="L22" s="23" t="n">
        <f aca="false">L13</f>
        <v>2875</v>
      </c>
      <c r="M22" s="24" t="n">
        <f aca="false">M13</f>
        <v>2375</v>
      </c>
      <c r="N22" s="25" t="n">
        <f aca="false">SUM(B22:M22)</f>
        <v>28000</v>
      </c>
    </row>
    <row r="23" customFormat="false" ht="15" hidden="false" customHeight="false" outlineLevel="0" collapsed="false">
      <c r="A23" s="42" t="s">
        <v>50</v>
      </c>
      <c r="B23" s="43" t="n">
        <f aca="false">B19-B20+B22</f>
        <v>741.5</v>
      </c>
      <c r="C23" s="44" t="n">
        <f aca="false">C19-C20+C22</f>
        <v>26</v>
      </c>
      <c r="D23" s="43" t="n">
        <f aca="false">D19-D20+D22</f>
        <v>3852.25</v>
      </c>
      <c r="E23" s="44" t="n">
        <f aca="false">E19-E20+E22</f>
        <v>5625</v>
      </c>
      <c r="F23" s="43" t="n">
        <f aca="false">F19-F20+F22</f>
        <v>2641</v>
      </c>
      <c r="G23" s="44" t="n">
        <f aca="false">G19-G20+G22</f>
        <v>-1316.25</v>
      </c>
      <c r="H23" s="43" t="n">
        <f aca="false">H19-H20+H22</f>
        <v>-2220</v>
      </c>
      <c r="I23" s="44" t="n">
        <f aca="false">I19-I20+I22</f>
        <v>-1611.75</v>
      </c>
      <c r="J23" s="43" t="n">
        <f aca="false">J19-J20+J22</f>
        <v>-2800</v>
      </c>
      <c r="K23" s="44" t="n">
        <f aca="false">K19-K20+K22</f>
        <v>4721</v>
      </c>
      <c r="L23" s="43" t="n">
        <f aca="false">L19-L20+L22</f>
        <v>3852.25</v>
      </c>
      <c r="M23" s="44" t="n">
        <f aca="false">M19-M20+M22</f>
        <v>1083.5</v>
      </c>
      <c r="N23" s="45" t="n">
        <f aca="false">SUM(B23:M23)</f>
        <v>14594.5</v>
      </c>
    </row>
    <row r="24" customFormat="false" ht="15" hidden="false" customHeight="false" outlineLevel="0" collapsed="false">
      <c r="A24" s="33" t="s">
        <v>51</v>
      </c>
      <c r="B24" s="34" t="n">
        <f aca="false">B19+B22</f>
        <v>7741.5</v>
      </c>
      <c r="C24" s="35" t="n">
        <f aca="false">C19+C22</f>
        <v>7026</v>
      </c>
      <c r="D24" s="34" t="n">
        <f aca="false">D19+D22</f>
        <v>10852.25</v>
      </c>
      <c r="E24" s="35" t="n">
        <f aca="false">E19+E22</f>
        <v>12625</v>
      </c>
      <c r="F24" s="34" t="n">
        <f aca="false">F19+F22</f>
        <v>9641</v>
      </c>
      <c r="G24" s="35" t="n">
        <f aca="false">G19+G22</f>
        <v>5683.75</v>
      </c>
      <c r="H24" s="34" t="n">
        <f aca="false">H19+H22</f>
        <v>4780</v>
      </c>
      <c r="I24" s="35" t="n">
        <f aca="false">I19+I22</f>
        <v>5388.25</v>
      </c>
      <c r="J24" s="34" t="n">
        <f aca="false">J19+J22</f>
        <v>4200</v>
      </c>
      <c r="K24" s="35" t="n">
        <f aca="false">K19+K22</f>
        <v>11721</v>
      </c>
      <c r="L24" s="34" t="n">
        <f aca="false">L19+L22</f>
        <v>10852.25</v>
      </c>
      <c r="M24" s="35" t="n">
        <f aca="false">M19+M22</f>
        <v>8083.5</v>
      </c>
      <c r="N24" s="46" t="n">
        <f aca="false">SUM(B24:M24)</f>
        <v>98594.5</v>
      </c>
    </row>
    <row r="26" customFormat="false" ht="15" hidden="false" customHeight="false" outlineLevel="0" collapsed="false">
      <c r="A26" s="47" t="s">
        <v>52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</row>
    <row r="27" customFormat="false" ht="15" hidden="false" customHeight="false" outlineLevel="0" collapsed="false">
      <c r="A27" s="32" t="s">
        <v>53</v>
      </c>
      <c r="B27" s="23" t="n">
        <f aca="false">B21-B12</f>
        <v>-1537.62</v>
      </c>
      <c r="C27" s="24" t="n">
        <f aca="false">C21-C12</f>
        <v>-1372.28</v>
      </c>
      <c r="D27" s="23" t="n">
        <f aca="false">D21-D12</f>
        <v>-2233.63</v>
      </c>
      <c r="E27" s="24" t="n">
        <f aca="false">E21-E12</f>
        <v>-2660</v>
      </c>
      <c r="F27" s="23" t="n">
        <f aca="false">F21-F12</f>
        <v>-1964.48</v>
      </c>
      <c r="G27" s="24" t="n">
        <f aca="false">G21-G12</f>
        <v>-1066.45</v>
      </c>
      <c r="H27" s="23" t="n">
        <f aca="false">H21-H12</f>
        <v>-883.4</v>
      </c>
      <c r="I27" s="24" t="n">
        <f aca="false">I21-I12</f>
        <v>-1018.71</v>
      </c>
      <c r="J27" s="23" t="n">
        <f aca="false">J21-J12</f>
        <v>-756</v>
      </c>
      <c r="K27" s="24" t="n">
        <f aca="false">K21-K12</f>
        <v>-2441.88</v>
      </c>
      <c r="L27" s="23" t="n">
        <f aca="false">L21-L12</f>
        <v>-2233.63</v>
      </c>
      <c r="M27" s="24" t="n">
        <f aca="false">M21-M12</f>
        <v>-1598.38</v>
      </c>
      <c r="N27" s="25" t="n">
        <f aca="false">SUM(B27:M27)</f>
        <v>-19766.46</v>
      </c>
    </row>
    <row r="28" customFormat="false" ht="15" hidden="false" customHeight="false" outlineLevel="0" collapsed="false">
      <c r="A28" s="32" t="s">
        <v>54</v>
      </c>
      <c r="B28" s="23" t="n">
        <f aca="false">B23-B14</f>
        <v>-5462.38</v>
      </c>
      <c r="C28" s="24" t="n">
        <f aca="false">C23-C14</f>
        <v>-5627.72</v>
      </c>
      <c r="D28" s="23" t="n">
        <f aca="false">D23-D14</f>
        <v>-4766.37</v>
      </c>
      <c r="E28" s="24" t="n">
        <f aca="false">E23-E14</f>
        <v>-4340</v>
      </c>
      <c r="F28" s="23" t="n">
        <f aca="false">F23-F14</f>
        <v>-5035.52</v>
      </c>
      <c r="G28" s="24" t="n">
        <f aca="false">G23-G14</f>
        <v>-5933.55</v>
      </c>
      <c r="H28" s="23" t="n">
        <f aca="false">H23-H14</f>
        <v>-6116.6</v>
      </c>
      <c r="I28" s="24" t="n">
        <f aca="false">I23-I14</f>
        <v>-5981.29</v>
      </c>
      <c r="J28" s="23" t="n">
        <f aca="false">J23-J14</f>
        <v>-6244</v>
      </c>
      <c r="K28" s="24" t="n">
        <f aca="false">K23-K14</f>
        <v>-4558.12</v>
      </c>
      <c r="L28" s="23" t="n">
        <f aca="false">L23-L14</f>
        <v>-4766.37</v>
      </c>
      <c r="M28" s="24" t="n">
        <f aca="false">M23-M14</f>
        <v>-5401.62</v>
      </c>
      <c r="N28" s="48" t="n">
        <f aca="false">SUM(B28:M28)</f>
        <v>-64233.54</v>
      </c>
    </row>
  </sheetData>
  <mergeCells count="7">
    <mergeCell ref="A1:N1"/>
    <mergeCell ref="A2:N2"/>
    <mergeCell ref="A8:N8"/>
    <mergeCell ref="A9:N9"/>
    <mergeCell ref="A16:N16"/>
    <mergeCell ref="A17:N17"/>
    <mergeCell ref="A26: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AE60"/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15" min="2" style="0" width="16"/>
  </cols>
  <sheetData>
    <row r="1" customFormat="false" ht="16.15" hidden="false" customHeight="false" outlineLevel="0" collapsed="false">
      <c r="A1" s="21" t="s">
        <v>55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customFormat="false" ht="15" hidden="false" customHeight="false" outlineLevel="0" collapsed="false">
      <c r="A2" s="22" t="s">
        <v>35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</row>
    <row r="4" customFormat="false" ht="26.85" hidden="false" customHeight="false" outlineLevel="0" collapsed="false">
      <c r="A4" s="2" t="s">
        <v>36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  <c r="G4" s="2" t="s">
        <v>13</v>
      </c>
      <c r="H4" s="2" t="s">
        <v>14</v>
      </c>
      <c r="I4" s="2" t="s">
        <v>15</v>
      </c>
      <c r="J4" s="2" t="s">
        <v>16</v>
      </c>
      <c r="K4" s="2" t="s">
        <v>17</v>
      </c>
      <c r="L4" s="2" t="s">
        <v>18</v>
      </c>
      <c r="M4" s="2" t="s">
        <v>19</v>
      </c>
      <c r="N4" s="2" t="s">
        <v>37</v>
      </c>
    </row>
    <row r="5" customFormat="false" ht="15" hidden="false" customHeight="false" outlineLevel="0" collapsed="false">
      <c r="A5" s="5" t="s">
        <v>38</v>
      </c>
      <c r="B5" s="23" t="n">
        <f aca="false">ROUND(Hypotheses!C24+(Hypotheses!B24-Hypotheses!C24)*(Hypotheses!B8-0.6)/(1.25-0.6),0)</f>
        <v>2354</v>
      </c>
      <c r="C5" s="24" t="n">
        <f aca="false">ROUND(Hypotheses!C24+(Hypotheses!B24-Hypotheses!C24)*(Hypotheses!B9-0.6)/(1.25-0.6),0)</f>
        <v>2262</v>
      </c>
      <c r="D5" s="23" t="n">
        <f aca="false">ROUND(Hypotheses!C24+(Hypotheses!B24-Hypotheses!C24)*(Hypotheses!B10-0.6)/(1.25-0.6),0)</f>
        <v>2815</v>
      </c>
      <c r="E5" s="24" t="n">
        <f aca="false">ROUND(Hypotheses!C24+(Hypotheses!B24-Hypotheses!C24)*(Hypotheses!B11-0.6)/(1.25-0.6),0)</f>
        <v>3000</v>
      </c>
      <c r="F5" s="23" t="n">
        <f aca="false">ROUND(Hypotheses!C24+(Hypotheses!B24-Hypotheses!C24)*(Hypotheses!B12-0.6)/(1.25-0.6),0)</f>
        <v>2631</v>
      </c>
      <c r="G5" s="24" t="n">
        <f aca="false">ROUND(Hypotheses!C24+(Hypotheses!B24-Hypotheses!C24)*(Hypotheses!B13-0.6)/(1.25-0.6),0)</f>
        <v>2077</v>
      </c>
      <c r="H5" s="23" t="n">
        <f aca="false">ROUND(Hypotheses!C24+(Hypotheses!B24-Hypotheses!C24)*(Hypotheses!B14-0.6)/(1.25-0.6),0)</f>
        <v>1892</v>
      </c>
      <c r="I5" s="24" t="n">
        <f aca="false">ROUND(Hypotheses!C24+(Hypotheses!B24-Hypotheses!C24)*(Hypotheses!B15-0.6)/(1.25-0.6),0)</f>
        <v>1985</v>
      </c>
      <c r="J5" s="23" t="n">
        <f aca="false">ROUND(Hypotheses!C24+(Hypotheses!B24-Hypotheses!C24)*(Hypotheses!B16-0.6)/(1.25-0.6),0)</f>
        <v>1800</v>
      </c>
      <c r="K5" s="24" t="n">
        <f aca="false">ROUND(Hypotheses!C24+(Hypotheses!B24-Hypotheses!C24)*(Hypotheses!B17-0.6)/(1.25-0.6),0)</f>
        <v>2908</v>
      </c>
      <c r="L5" s="23" t="n">
        <f aca="false">ROUND(Hypotheses!C24+(Hypotheses!B24-Hypotheses!C24)*(Hypotheses!B18-0.6)/(1.25-0.6),0)</f>
        <v>2815</v>
      </c>
      <c r="M5" s="24" t="n">
        <f aca="false">ROUND(Hypotheses!C24+(Hypotheses!B24-Hypotheses!C24)*(Hypotheses!B19-0.6)/(1.25-0.6),0)</f>
        <v>2446</v>
      </c>
      <c r="N5" s="25" t="n">
        <f aca="false">ROUND(AVERAGE(B5:M5),0)</f>
        <v>2415</v>
      </c>
    </row>
    <row r="6" customFormat="false" ht="15" hidden="false" customHeight="false" outlineLevel="0" collapsed="false">
      <c r="A6" s="5" t="s">
        <v>39</v>
      </c>
      <c r="B6" s="9" t="n">
        <f aca="false">Hypotheses!C8</f>
        <v>0.45</v>
      </c>
      <c r="C6" s="13" t="n">
        <f aca="false">Hypotheses!C9</f>
        <v>0.425</v>
      </c>
      <c r="D6" s="9" t="n">
        <f aca="false">Hypotheses!C10</f>
        <v>0.575</v>
      </c>
      <c r="E6" s="13" t="n">
        <f aca="false">Hypotheses!C11</f>
        <v>0.625</v>
      </c>
      <c r="F6" s="9" t="n">
        <f aca="false">Hypotheses!C12</f>
        <v>0.525</v>
      </c>
      <c r="G6" s="13" t="n">
        <f aca="false">Hypotheses!C13</f>
        <v>0.375</v>
      </c>
      <c r="H6" s="9" t="n">
        <f aca="false">Hypotheses!C14</f>
        <v>0.325</v>
      </c>
      <c r="I6" s="13" t="n">
        <f aca="false">Hypotheses!C15</f>
        <v>0.35</v>
      </c>
      <c r="J6" s="9" t="n">
        <f aca="false">Hypotheses!C16</f>
        <v>0.3</v>
      </c>
      <c r="K6" s="13" t="n">
        <f aca="false">Hypotheses!C17</f>
        <v>0.6</v>
      </c>
      <c r="L6" s="9" t="n">
        <f aca="false">Hypotheses!C18</f>
        <v>0.575</v>
      </c>
      <c r="M6" s="13" t="n">
        <f aca="false">Hypotheses!C19</f>
        <v>0.475</v>
      </c>
      <c r="N6" s="26" t="n">
        <f aca="false">AVERAGE(B6:M6)</f>
        <v>0.466666666666667</v>
      </c>
    </row>
    <row r="7" customFormat="false" ht="15" hidden="false" customHeight="false" outlineLevel="0" collapsed="false">
      <c r="A7" s="5" t="s">
        <v>40</v>
      </c>
      <c r="B7" s="27" t="n">
        <f aca="false">Hypotheses!D8</f>
        <v>14</v>
      </c>
      <c r="C7" s="28" t="n">
        <f aca="false">Hypotheses!D9</f>
        <v>13</v>
      </c>
      <c r="D7" s="27" t="n">
        <f aca="false">Hypotheses!D10</f>
        <v>17</v>
      </c>
      <c r="E7" s="28" t="n">
        <f aca="false">Hypotheses!D11</f>
        <v>19</v>
      </c>
      <c r="F7" s="27" t="n">
        <f aca="false">Hypotheses!D12</f>
        <v>16</v>
      </c>
      <c r="G7" s="28" t="n">
        <f aca="false">Hypotheses!D13</f>
        <v>11</v>
      </c>
      <c r="H7" s="27" t="n">
        <f aca="false">Hypotheses!D14</f>
        <v>10</v>
      </c>
      <c r="I7" s="28" t="n">
        <f aca="false">Hypotheses!D15</f>
        <v>11</v>
      </c>
      <c r="J7" s="27" t="n">
        <f aca="false">Hypotheses!D16</f>
        <v>9</v>
      </c>
      <c r="K7" s="28" t="n">
        <f aca="false">Hypotheses!D17</f>
        <v>18</v>
      </c>
      <c r="L7" s="27" t="n">
        <f aca="false">Hypotheses!D18</f>
        <v>17</v>
      </c>
      <c r="M7" s="28" t="n">
        <f aca="false">Hypotheses!D19</f>
        <v>14</v>
      </c>
      <c r="N7" s="29" t="n">
        <f aca="false">SUM(B7:M7)</f>
        <v>169</v>
      </c>
    </row>
    <row r="8" customFormat="false" ht="15" hidden="false" customHeight="false" outlineLevel="0" collapsed="false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</row>
    <row r="9" customFormat="false" ht="15" hidden="false" customHeight="false" outlineLevel="0" collapsed="false">
      <c r="A9" s="31" t="s">
        <v>41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</row>
    <row r="10" customFormat="false" ht="15" hidden="false" customHeight="false" outlineLevel="0" collapsed="false">
      <c r="A10" s="32" t="s">
        <v>42</v>
      </c>
      <c r="B10" s="23" t="n">
        <f aca="false">B5*B7</f>
        <v>32956</v>
      </c>
      <c r="C10" s="24" t="n">
        <f aca="false">C5*C7</f>
        <v>29406</v>
      </c>
      <c r="D10" s="23" t="n">
        <f aca="false">D5*D7</f>
        <v>47855</v>
      </c>
      <c r="E10" s="24" t="n">
        <f aca="false">E5*E7</f>
        <v>57000</v>
      </c>
      <c r="F10" s="23" t="n">
        <f aca="false">F5*F7</f>
        <v>42096</v>
      </c>
      <c r="G10" s="24" t="n">
        <f aca="false">G5*G7</f>
        <v>22847</v>
      </c>
      <c r="H10" s="23" t="n">
        <f aca="false">H5*H7</f>
        <v>18920</v>
      </c>
      <c r="I10" s="24" t="n">
        <f aca="false">I5*I7</f>
        <v>21835</v>
      </c>
      <c r="J10" s="23" t="n">
        <f aca="false">J5*J7</f>
        <v>16200</v>
      </c>
      <c r="K10" s="24" t="n">
        <f aca="false">K5*K7</f>
        <v>52344</v>
      </c>
      <c r="L10" s="23" t="n">
        <f aca="false">L5*L7</f>
        <v>47855</v>
      </c>
      <c r="M10" s="24" t="n">
        <f aca="false">M5*M7</f>
        <v>34244</v>
      </c>
      <c r="N10" s="25" t="n">
        <f aca="false">SUM(B10:M10)</f>
        <v>423558</v>
      </c>
    </row>
    <row r="11" customFormat="false" ht="15" hidden="false" customHeight="false" outlineLevel="0" collapsed="false">
      <c r="A11" s="32" t="s">
        <v>43</v>
      </c>
      <c r="B11" s="23" t="n">
        <f aca="false">B10*Hypotheses!$B$29</f>
        <v>5932.08</v>
      </c>
      <c r="C11" s="24" t="n">
        <f aca="false">C10*Hypotheses!$B$29</f>
        <v>5293.08</v>
      </c>
      <c r="D11" s="23" t="n">
        <f aca="false">D10*Hypotheses!$B$29</f>
        <v>8613.9</v>
      </c>
      <c r="E11" s="24" t="n">
        <f aca="false">E10*Hypotheses!$B$29</f>
        <v>10260</v>
      </c>
      <c r="F11" s="23" t="n">
        <f aca="false">F10*Hypotheses!$B$29</f>
        <v>7577.28</v>
      </c>
      <c r="G11" s="24" t="n">
        <f aca="false">G10*Hypotheses!$B$29</f>
        <v>4112.46</v>
      </c>
      <c r="H11" s="23" t="n">
        <f aca="false">H10*Hypotheses!$B$29</f>
        <v>3405.6</v>
      </c>
      <c r="I11" s="24" t="n">
        <f aca="false">I10*Hypotheses!$B$29</f>
        <v>3930.3</v>
      </c>
      <c r="J11" s="23" t="n">
        <f aca="false">J10*Hypotheses!$B$29</f>
        <v>2916</v>
      </c>
      <c r="K11" s="24" t="n">
        <f aca="false">K10*Hypotheses!$B$29</f>
        <v>9421.92</v>
      </c>
      <c r="L11" s="23" t="n">
        <f aca="false">L10*Hypotheses!$B$29</f>
        <v>8613.9</v>
      </c>
      <c r="M11" s="24" t="n">
        <f aca="false">M10*Hypotheses!$B$29</f>
        <v>6163.92</v>
      </c>
      <c r="N11" s="25" t="n">
        <f aca="false">SUM(B11:M11)</f>
        <v>76240.44</v>
      </c>
    </row>
    <row r="12" customFormat="false" ht="15" hidden="false" customHeight="false" outlineLevel="0" collapsed="false">
      <c r="A12" s="33" t="s">
        <v>44</v>
      </c>
      <c r="B12" s="34" t="n">
        <f aca="false">B10-B11</f>
        <v>27023.92</v>
      </c>
      <c r="C12" s="35" t="n">
        <f aca="false">C10-C11</f>
        <v>24112.92</v>
      </c>
      <c r="D12" s="34" t="n">
        <f aca="false">D10-D11</f>
        <v>39241.1</v>
      </c>
      <c r="E12" s="35" t="n">
        <f aca="false">E10-E11</f>
        <v>46740</v>
      </c>
      <c r="F12" s="34" t="n">
        <f aca="false">F10-F11</f>
        <v>34518.72</v>
      </c>
      <c r="G12" s="35" t="n">
        <f aca="false">G10-G11</f>
        <v>18734.54</v>
      </c>
      <c r="H12" s="34" t="n">
        <f aca="false">H10-H11</f>
        <v>15514.4</v>
      </c>
      <c r="I12" s="35" t="n">
        <f aca="false">I10-I11</f>
        <v>17904.7</v>
      </c>
      <c r="J12" s="34" t="n">
        <f aca="false">J10-J11</f>
        <v>13284</v>
      </c>
      <c r="K12" s="35" t="n">
        <f aca="false">K10-K11</f>
        <v>42922.08</v>
      </c>
      <c r="L12" s="34" t="n">
        <f aca="false">L10-L11</f>
        <v>39241.1</v>
      </c>
      <c r="M12" s="35" t="n">
        <f aca="false">M10-M11</f>
        <v>28080.08</v>
      </c>
      <c r="N12" s="36" t="n">
        <f aca="false">SUM(B12:M12)</f>
        <v>347317.56</v>
      </c>
    </row>
    <row r="13" customFormat="false" ht="15" hidden="false" customHeight="false" outlineLevel="0" collapsed="false">
      <c r="A13" s="32" t="s">
        <v>45</v>
      </c>
      <c r="B13" s="23" t="n">
        <f aca="false">ROUND(Hypotheses!$B$31*B6/Hypotheses!$B$4,0)</f>
        <v>2250</v>
      </c>
      <c r="C13" s="24" t="n">
        <f aca="false">ROUND(Hypotheses!$B$31*C6/Hypotheses!$B$4,0)</f>
        <v>2125</v>
      </c>
      <c r="D13" s="23" t="n">
        <f aca="false">ROUND(Hypotheses!$B$31*D6/Hypotheses!$B$4,0)</f>
        <v>2875</v>
      </c>
      <c r="E13" s="24" t="n">
        <f aca="false">ROUND(Hypotheses!$B$31*E6/Hypotheses!$B$4,0)</f>
        <v>3125</v>
      </c>
      <c r="F13" s="23" t="n">
        <f aca="false">ROUND(Hypotheses!$B$31*F6/Hypotheses!$B$4,0)</f>
        <v>2625</v>
      </c>
      <c r="G13" s="24" t="n">
        <f aca="false">ROUND(Hypotheses!$B$31*G6/Hypotheses!$B$4,0)</f>
        <v>1875</v>
      </c>
      <c r="H13" s="23" t="n">
        <f aca="false">ROUND(Hypotheses!$B$31*H6/Hypotheses!$B$4,0)</f>
        <v>1625</v>
      </c>
      <c r="I13" s="24" t="n">
        <f aca="false">ROUND(Hypotheses!$B$31*I6/Hypotheses!$B$4,0)</f>
        <v>1750</v>
      </c>
      <c r="J13" s="23" t="n">
        <f aca="false">ROUND(Hypotheses!$B$31*J6/Hypotheses!$B$4,0)</f>
        <v>1500</v>
      </c>
      <c r="K13" s="24" t="n">
        <f aca="false">ROUND(Hypotheses!$B$31*K6/Hypotheses!$B$4,0)</f>
        <v>3000</v>
      </c>
      <c r="L13" s="23" t="n">
        <f aca="false">ROUND(Hypotheses!$B$31*L6/Hypotheses!$B$4,0)</f>
        <v>2875</v>
      </c>
      <c r="M13" s="24" t="n">
        <f aca="false">ROUND(Hypotheses!$B$31*M6/Hypotheses!$B$4,0)</f>
        <v>2375</v>
      </c>
      <c r="N13" s="25" t="n">
        <f aca="false">SUM(B13:M13)</f>
        <v>28000</v>
      </c>
    </row>
    <row r="14" customFormat="false" ht="15" hidden="false" customHeight="false" outlineLevel="0" collapsed="false">
      <c r="A14" s="37" t="s">
        <v>46</v>
      </c>
      <c r="B14" s="38" t="n">
        <f aca="false">B11+B13</f>
        <v>8182.08</v>
      </c>
      <c r="C14" s="39" t="n">
        <f aca="false">C11+C13</f>
        <v>7418.08</v>
      </c>
      <c r="D14" s="38" t="n">
        <f aca="false">D11+D13</f>
        <v>11488.9</v>
      </c>
      <c r="E14" s="39" t="n">
        <f aca="false">E11+E13</f>
        <v>13385</v>
      </c>
      <c r="F14" s="38" t="n">
        <f aca="false">F11+F13</f>
        <v>10202.28</v>
      </c>
      <c r="G14" s="39" t="n">
        <f aca="false">G11+G13</f>
        <v>5987.46</v>
      </c>
      <c r="H14" s="38" t="n">
        <f aca="false">H11+H13</f>
        <v>5030.6</v>
      </c>
      <c r="I14" s="39" t="n">
        <f aca="false">I11+I13</f>
        <v>5680.3</v>
      </c>
      <c r="J14" s="38" t="n">
        <f aca="false">J11+J13</f>
        <v>4416</v>
      </c>
      <c r="K14" s="39" t="n">
        <f aca="false">K11+K13</f>
        <v>12421.92</v>
      </c>
      <c r="L14" s="38" t="n">
        <f aca="false">L11+L13</f>
        <v>11488.9</v>
      </c>
      <c r="M14" s="39" t="n">
        <f aca="false">M11+M13</f>
        <v>8538.92</v>
      </c>
      <c r="N14" s="40" t="n">
        <f aca="false">SUM(B14:M14)</f>
        <v>104240.44</v>
      </c>
    </row>
    <row r="16" customFormat="false" ht="15" hidden="false" customHeight="false" outlineLevel="0" collapsed="false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  <row r="17" customFormat="false" ht="15" hidden="false" customHeight="false" outlineLevel="0" collapsed="false">
      <c r="A17" s="41" t="s">
        <v>47</v>
      </c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</row>
    <row r="18" customFormat="false" ht="15" hidden="false" customHeight="false" outlineLevel="0" collapsed="false">
      <c r="A18" s="32" t="s">
        <v>42</v>
      </c>
      <c r="B18" s="23" t="n">
        <f aca="false">B10</f>
        <v>32956</v>
      </c>
      <c r="C18" s="24" t="n">
        <f aca="false">C10</f>
        <v>29406</v>
      </c>
      <c r="D18" s="23" t="n">
        <f aca="false">D10</f>
        <v>47855</v>
      </c>
      <c r="E18" s="24" t="n">
        <f aca="false">E10</f>
        <v>57000</v>
      </c>
      <c r="F18" s="23" t="n">
        <f aca="false">F10</f>
        <v>42096</v>
      </c>
      <c r="G18" s="24" t="n">
        <f aca="false">G10</f>
        <v>22847</v>
      </c>
      <c r="H18" s="23" t="n">
        <f aca="false">H10</f>
        <v>18920</v>
      </c>
      <c r="I18" s="24" t="n">
        <f aca="false">I10</f>
        <v>21835</v>
      </c>
      <c r="J18" s="23" t="n">
        <f aca="false">J10</f>
        <v>16200</v>
      </c>
      <c r="K18" s="24" t="n">
        <f aca="false">K10</f>
        <v>52344</v>
      </c>
      <c r="L18" s="23" t="n">
        <f aca="false">L10</f>
        <v>47855</v>
      </c>
      <c r="M18" s="24" t="n">
        <f aca="false">M10</f>
        <v>34244</v>
      </c>
      <c r="N18" s="25" t="n">
        <f aca="false">SUM(B18:M18)</f>
        <v>423558</v>
      </c>
    </row>
    <row r="19" customFormat="false" ht="15" hidden="false" customHeight="false" outlineLevel="0" collapsed="false">
      <c r="A19" s="32" t="s">
        <v>48</v>
      </c>
      <c r="B19" s="23" t="n">
        <f aca="false">B18*Hypotheses!$B$30</f>
        <v>8239</v>
      </c>
      <c r="C19" s="24" t="n">
        <f aca="false">C18*Hypotheses!$B$30</f>
        <v>7351.5</v>
      </c>
      <c r="D19" s="23" t="n">
        <f aca="false">D18*Hypotheses!$B$30</f>
        <v>11963.75</v>
      </c>
      <c r="E19" s="24" t="n">
        <f aca="false">E18*Hypotheses!$B$30</f>
        <v>14250</v>
      </c>
      <c r="F19" s="23" t="n">
        <f aca="false">F18*Hypotheses!$B$30</f>
        <v>10524</v>
      </c>
      <c r="G19" s="24" t="n">
        <f aca="false">G18*Hypotheses!$B$30</f>
        <v>5711.75</v>
      </c>
      <c r="H19" s="23" t="n">
        <f aca="false">H18*Hypotheses!$B$30</f>
        <v>4730</v>
      </c>
      <c r="I19" s="24" t="n">
        <f aca="false">I18*Hypotheses!$B$30</f>
        <v>5458.75</v>
      </c>
      <c r="J19" s="23" t="n">
        <f aca="false">J18*Hypotheses!$B$30</f>
        <v>4050</v>
      </c>
      <c r="K19" s="24" t="n">
        <f aca="false">K18*Hypotheses!$B$30</f>
        <v>13086</v>
      </c>
      <c r="L19" s="23" t="n">
        <f aca="false">L18*Hypotheses!$B$30</f>
        <v>11963.75</v>
      </c>
      <c r="M19" s="24" t="n">
        <f aca="false">M18*Hypotheses!$B$30</f>
        <v>8561</v>
      </c>
      <c r="N19" s="25" t="n">
        <f aca="false">SUM(B19:M19)</f>
        <v>105889.5</v>
      </c>
    </row>
    <row r="20" customFormat="false" ht="15" hidden="false" customHeight="false" outlineLevel="0" collapsed="false">
      <c r="A20" s="32" t="s">
        <v>49</v>
      </c>
      <c r="B20" s="23" t="n">
        <f aca="false">Hypotheses!$B$32</f>
        <v>7000</v>
      </c>
      <c r="C20" s="24" t="n">
        <f aca="false">Hypotheses!$B$32</f>
        <v>7000</v>
      </c>
      <c r="D20" s="23" t="n">
        <f aca="false">Hypotheses!$B$32</f>
        <v>7000</v>
      </c>
      <c r="E20" s="24" t="n">
        <f aca="false">Hypotheses!$B$32</f>
        <v>7000</v>
      </c>
      <c r="F20" s="23" t="n">
        <f aca="false">Hypotheses!$B$32</f>
        <v>7000</v>
      </c>
      <c r="G20" s="24" t="n">
        <f aca="false">Hypotheses!$B$32</f>
        <v>7000</v>
      </c>
      <c r="H20" s="23" t="n">
        <f aca="false">Hypotheses!$B$32</f>
        <v>7000</v>
      </c>
      <c r="I20" s="24" t="n">
        <f aca="false">Hypotheses!$B$32</f>
        <v>7000</v>
      </c>
      <c r="J20" s="23" t="n">
        <f aca="false">Hypotheses!$B$32</f>
        <v>7000</v>
      </c>
      <c r="K20" s="24" t="n">
        <f aca="false">Hypotheses!$B$32</f>
        <v>7000</v>
      </c>
      <c r="L20" s="23" t="n">
        <f aca="false">Hypotheses!$B$32</f>
        <v>7000</v>
      </c>
      <c r="M20" s="24" t="n">
        <f aca="false">Hypotheses!$B$32</f>
        <v>7000</v>
      </c>
      <c r="N20" s="25" t="n">
        <f aca="false">SUM(B20:M20)</f>
        <v>84000</v>
      </c>
    </row>
    <row r="21" customFormat="false" ht="15" hidden="false" customHeight="false" outlineLevel="0" collapsed="false">
      <c r="A21" s="33" t="s">
        <v>44</v>
      </c>
      <c r="B21" s="34" t="n">
        <f aca="false">B18-B19</f>
        <v>24717</v>
      </c>
      <c r="C21" s="35" t="n">
        <f aca="false">C18-C19</f>
        <v>22054.5</v>
      </c>
      <c r="D21" s="34" t="n">
        <f aca="false">D18-D19</f>
        <v>35891.25</v>
      </c>
      <c r="E21" s="35" t="n">
        <f aca="false">E18-E19</f>
        <v>42750</v>
      </c>
      <c r="F21" s="34" t="n">
        <f aca="false">F18-F19</f>
        <v>31572</v>
      </c>
      <c r="G21" s="35" t="n">
        <f aca="false">G18-G19</f>
        <v>17135.25</v>
      </c>
      <c r="H21" s="34" t="n">
        <f aca="false">H18-H19</f>
        <v>14190</v>
      </c>
      <c r="I21" s="35" t="n">
        <f aca="false">I18-I19</f>
        <v>16376.25</v>
      </c>
      <c r="J21" s="34" t="n">
        <f aca="false">J18-J19</f>
        <v>12150</v>
      </c>
      <c r="K21" s="35" t="n">
        <f aca="false">K18-K19</f>
        <v>39258</v>
      </c>
      <c r="L21" s="34" t="n">
        <f aca="false">L18-L19</f>
        <v>35891.25</v>
      </c>
      <c r="M21" s="35" t="n">
        <f aca="false">M18-M19</f>
        <v>25683</v>
      </c>
      <c r="N21" s="36" t="n">
        <f aca="false">SUM(B21:M21)</f>
        <v>317668.5</v>
      </c>
    </row>
    <row r="22" customFormat="false" ht="15" hidden="false" customHeight="false" outlineLevel="0" collapsed="false">
      <c r="A22" s="32" t="s">
        <v>45</v>
      </c>
      <c r="B22" s="23" t="n">
        <f aca="false">B13</f>
        <v>2250</v>
      </c>
      <c r="C22" s="24" t="n">
        <f aca="false">C13</f>
        <v>2125</v>
      </c>
      <c r="D22" s="23" t="n">
        <f aca="false">D13</f>
        <v>2875</v>
      </c>
      <c r="E22" s="24" t="n">
        <f aca="false">E13</f>
        <v>3125</v>
      </c>
      <c r="F22" s="23" t="n">
        <f aca="false">F13</f>
        <v>2625</v>
      </c>
      <c r="G22" s="24" t="n">
        <f aca="false">G13</f>
        <v>1875</v>
      </c>
      <c r="H22" s="23" t="n">
        <f aca="false">H13</f>
        <v>1625</v>
      </c>
      <c r="I22" s="24" t="n">
        <f aca="false">I13</f>
        <v>1750</v>
      </c>
      <c r="J22" s="23" t="n">
        <f aca="false">J13</f>
        <v>1500</v>
      </c>
      <c r="K22" s="24" t="n">
        <f aca="false">K13</f>
        <v>3000</v>
      </c>
      <c r="L22" s="23" t="n">
        <f aca="false">L13</f>
        <v>2875</v>
      </c>
      <c r="M22" s="24" t="n">
        <f aca="false">M13</f>
        <v>2375</v>
      </c>
      <c r="N22" s="25" t="n">
        <f aca="false">SUM(B22:M22)</f>
        <v>28000</v>
      </c>
    </row>
    <row r="23" customFormat="false" ht="15" hidden="false" customHeight="false" outlineLevel="0" collapsed="false">
      <c r="A23" s="42" t="s">
        <v>50</v>
      </c>
      <c r="B23" s="43" t="n">
        <f aca="false">B19-B20+B22</f>
        <v>3489</v>
      </c>
      <c r="C23" s="44" t="n">
        <f aca="false">C19-C20+C22</f>
        <v>2476.5</v>
      </c>
      <c r="D23" s="43" t="n">
        <f aca="false">D19-D20+D22</f>
        <v>7838.75</v>
      </c>
      <c r="E23" s="44" t="n">
        <f aca="false">E19-E20+E22</f>
        <v>10375</v>
      </c>
      <c r="F23" s="43" t="n">
        <f aca="false">F19-F20+F22</f>
        <v>6149</v>
      </c>
      <c r="G23" s="44" t="n">
        <f aca="false">G19-G20+G22</f>
        <v>586.75</v>
      </c>
      <c r="H23" s="43" t="n">
        <f aca="false">H19-H20+H22</f>
        <v>-645</v>
      </c>
      <c r="I23" s="44" t="n">
        <f aca="false">I19-I20+I22</f>
        <v>208.75</v>
      </c>
      <c r="J23" s="43" t="n">
        <f aca="false">J19-J20+J22</f>
        <v>-1450</v>
      </c>
      <c r="K23" s="44" t="n">
        <f aca="false">K19-K20+K22</f>
        <v>9086</v>
      </c>
      <c r="L23" s="43" t="n">
        <f aca="false">L19-L20+L22</f>
        <v>7838.75</v>
      </c>
      <c r="M23" s="44" t="n">
        <f aca="false">M19-M20+M22</f>
        <v>3936</v>
      </c>
      <c r="N23" s="45" t="n">
        <f aca="false">SUM(B23:M23)</f>
        <v>49889.5</v>
      </c>
    </row>
    <row r="24" customFormat="false" ht="15" hidden="false" customHeight="false" outlineLevel="0" collapsed="false">
      <c r="A24" s="33" t="s">
        <v>51</v>
      </c>
      <c r="B24" s="34" t="n">
        <f aca="false">B19+B22</f>
        <v>10489</v>
      </c>
      <c r="C24" s="35" t="n">
        <f aca="false">C19+C22</f>
        <v>9476.5</v>
      </c>
      <c r="D24" s="34" t="n">
        <f aca="false">D19+D22</f>
        <v>14838.75</v>
      </c>
      <c r="E24" s="35" t="n">
        <f aca="false">E19+E22</f>
        <v>17375</v>
      </c>
      <c r="F24" s="34" t="n">
        <f aca="false">F19+F22</f>
        <v>13149</v>
      </c>
      <c r="G24" s="35" t="n">
        <f aca="false">G19+G22</f>
        <v>7586.75</v>
      </c>
      <c r="H24" s="34" t="n">
        <f aca="false">H19+H22</f>
        <v>6355</v>
      </c>
      <c r="I24" s="35" t="n">
        <f aca="false">I19+I22</f>
        <v>7208.75</v>
      </c>
      <c r="J24" s="34" t="n">
        <f aca="false">J19+J22</f>
        <v>5550</v>
      </c>
      <c r="K24" s="35" t="n">
        <f aca="false">K19+K22</f>
        <v>16086</v>
      </c>
      <c r="L24" s="34" t="n">
        <f aca="false">L19+L22</f>
        <v>14838.75</v>
      </c>
      <c r="M24" s="35" t="n">
        <f aca="false">M19+M22</f>
        <v>10936</v>
      </c>
      <c r="N24" s="46" t="n">
        <f aca="false">SUM(B24:M24)</f>
        <v>133889.5</v>
      </c>
    </row>
    <row r="26" customFormat="false" ht="15" hidden="false" customHeight="false" outlineLevel="0" collapsed="false">
      <c r="A26" s="47" t="s">
        <v>52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</row>
    <row r="27" customFormat="false" ht="15" hidden="false" customHeight="false" outlineLevel="0" collapsed="false">
      <c r="A27" s="32" t="s">
        <v>53</v>
      </c>
      <c r="B27" s="23" t="n">
        <f aca="false">B21-B12</f>
        <v>-2306.92</v>
      </c>
      <c r="C27" s="24" t="n">
        <f aca="false">C21-C12</f>
        <v>-2058.42</v>
      </c>
      <c r="D27" s="23" t="n">
        <f aca="false">D21-D12</f>
        <v>-3349.85</v>
      </c>
      <c r="E27" s="24" t="n">
        <f aca="false">E21-E12</f>
        <v>-3990</v>
      </c>
      <c r="F27" s="23" t="n">
        <f aca="false">F21-F12</f>
        <v>-2946.72</v>
      </c>
      <c r="G27" s="24" t="n">
        <f aca="false">G21-G12</f>
        <v>-1599.29</v>
      </c>
      <c r="H27" s="23" t="n">
        <f aca="false">H21-H12</f>
        <v>-1324.4</v>
      </c>
      <c r="I27" s="24" t="n">
        <f aca="false">I21-I12</f>
        <v>-1528.45</v>
      </c>
      <c r="J27" s="23" t="n">
        <f aca="false">J21-J12</f>
        <v>-1134</v>
      </c>
      <c r="K27" s="24" t="n">
        <f aca="false">K21-K12</f>
        <v>-3664.08</v>
      </c>
      <c r="L27" s="23" t="n">
        <f aca="false">L21-L12</f>
        <v>-3349.85</v>
      </c>
      <c r="M27" s="24" t="n">
        <f aca="false">M21-M12</f>
        <v>-2397.08</v>
      </c>
      <c r="N27" s="25" t="n">
        <f aca="false">SUM(B27:M27)</f>
        <v>-29649.06</v>
      </c>
    </row>
    <row r="28" customFormat="false" ht="15" hidden="false" customHeight="false" outlineLevel="0" collapsed="false">
      <c r="A28" s="32" t="s">
        <v>54</v>
      </c>
      <c r="B28" s="23" t="n">
        <f aca="false">B23-B14</f>
        <v>-4693.08</v>
      </c>
      <c r="C28" s="24" t="n">
        <f aca="false">C23-C14</f>
        <v>-4941.58</v>
      </c>
      <c r="D28" s="23" t="n">
        <f aca="false">D23-D14</f>
        <v>-3650.15</v>
      </c>
      <c r="E28" s="24" t="n">
        <f aca="false">E23-E14</f>
        <v>-3010</v>
      </c>
      <c r="F28" s="23" t="n">
        <f aca="false">F23-F14</f>
        <v>-4053.28</v>
      </c>
      <c r="G28" s="24" t="n">
        <f aca="false">G23-G14</f>
        <v>-5400.71</v>
      </c>
      <c r="H28" s="23" t="n">
        <f aca="false">H23-H14</f>
        <v>-5675.6</v>
      </c>
      <c r="I28" s="24" t="n">
        <f aca="false">I23-I14</f>
        <v>-5471.55</v>
      </c>
      <c r="J28" s="23" t="n">
        <f aca="false">J23-J14</f>
        <v>-5866</v>
      </c>
      <c r="K28" s="24" t="n">
        <f aca="false">K23-K14</f>
        <v>-3335.92</v>
      </c>
      <c r="L28" s="23" t="n">
        <f aca="false">L23-L14</f>
        <v>-3650.15</v>
      </c>
      <c r="M28" s="24" t="n">
        <f aca="false">M23-M14</f>
        <v>-4602.92</v>
      </c>
      <c r="N28" s="48" t="n">
        <f aca="false">SUM(B28:M28)</f>
        <v>-54350.94</v>
      </c>
    </row>
  </sheetData>
  <mergeCells count="7">
    <mergeCell ref="A1:N1"/>
    <mergeCell ref="A2:N2"/>
    <mergeCell ref="A8:N8"/>
    <mergeCell ref="A9:N9"/>
    <mergeCell ref="A16:N16"/>
    <mergeCell ref="A17:N17"/>
    <mergeCell ref="A26: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15" min="2" style="0" width="16"/>
  </cols>
  <sheetData>
    <row r="1" customFormat="false" ht="16.15" hidden="false" customHeight="false" outlineLevel="0" collapsed="false">
      <c r="A1" s="21" t="s">
        <v>56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customFormat="false" ht="15" hidden="false" customHeight="false" outlineLevel="0" collapsed="false">
      <c r="A2" s="22" t="s">
        <v>35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</row>
    <row r="4" customFormat="false" ht="26.85" hidden="false" customHeight="false" outlineLevel="0" collapsed="false">
      <c r="A4" s="2" t="s">
        <v>36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  <c r="G4" s="2" t="s">
        <v>13</v>
      </c>
      <c r="H4" s="2" t="s">
        <v>14</v>
      </c>
      <c r="I4" s="2" t="s">
        <v>15</v>
      </c>
      <c r="J4" s="2" t="s">
        <v>16</v>
      </c>
      <c r="K4" s="2" t="s">
        <v>17</v>
      </c>
      <c r="L4" s="2" t="s">
        <v>18</v>
      </c>
      <c r="M4" s="2" t="s">
        <v>19</v>
      </c>
      <c r="N4" s="2" t="s">
        <v>37</v>
      </c>
    </row>
    <row r="5" customFormat="false" ht="15" hidden="false" customHeight="false" outlineLevel="0" collapsed="false">
      <c r="A5" s="5" t="s">
        <v>38</v>
      </c>
      <c r="B5" s="23" t="n">
        <f aca="false">ROUND(Hypotheses!C25+(Hypotheses!B25-Hypotheses!C25)*(Hypotheses!B8-0.6)/(1.25-0.6),0)</f>
        <v>3531</v>
      </c>
      <c r="C5" s="24" t="n">
        <f aca="false">ROUND(Hypotheses!C25+(Hypotheses!B25-Hypotheses!C25)*(Hypotheses!B9-0.6)/(1.25-0.6),0)</f>
        <v>3392</v>
      </c>
      <c r="D5" s="23" t="n">
        <f aca="false">ROUND(Hypotheses!C25+(Hypotheses!B25-Hypotheses!C25)*(Hypotheses!B10-0.6)/(1.25-0.6),0)</f>
        <v>4223</v>
      </c>
      <c r="E5" s="24" t="n">
        <f aca="false">ROUND(Hypotheses!C25+(Hypotheses!B25-Hypotheses!C25)*(Hypotheses!B11-0.6)/(1.25-0.6),0)</f>
        <v>4500</v>
      </c>
      <c r="F5" s="23" t="n">
        <f aca="false">ROUND(Hypotheses!C25+(Hypotheses!B25-Hypotheses!C25)*(Hypotheses!B12-0.6)/(1.25-0.6),0)</f>
        <v>3946</v>
      </c>
      <c r="G5" s="24" t="n">
        <f aca="false">ROUND(Hypotheses!C25+(Hypotheses!B25-Hypotheses!C25)*(Hypotheses!B13-0.6)/(1.25-0.6),0)</f>
        <v>3115</v>
      </c>
      <c r="H5" s="23" t="n">
        <f aca="false">ROUND(Hypotheses!C25+(Hypotheses!B25-Hypotheses!C25)*(Hypotheses!B14-0.6)/(1.25-0.6),0)</f>
        <v>2838</v>
      </c>
      <c r="I5" s="24" t="n">
        <f aca="false">ROUND(Hypotheses!C25+(Hypotheses!B25-Hypotheses!C25)*(Hypotheses!B15-0.6)/(1.25-0.6),0)</f>
        <v>2977</v>
      </c>
      <c r="J5" s="23" t="n">
        <f aca="false">ROUND(Hypotheses!C25+(Hypotheses!B25-Hypotheses!C25)*(Hypotheses!B16-0.6)/(1.25-0.6),0)</f>
        <v>2700</v>
      </c>
      <c r="K5" s="24" t="n">
        <f aca="false">ROUND(Hypotheses!C25+(Hypotheses!B25-Hypotheses!C25)*(Hypotheses!B17-0.6)/(1.25-0.6),0)</f>
        <v>4362</v>
      </c>
      <c r="L5" s="23" t="n">
        <f aca="false">ROUND(Hypotheses!C25+(Hypotheses!B25-Hypotheses!C25)*(Hypotheses!B18-0.6)/(1.25-0.6),0)</f>
        <v>4223</v>
      </c>
      <c r="M5" s="24" t="n">
        <f aca="false">ROUND(Hypotheses!C25+(Hypotheses!B25-Hypotheses!C25)*(Hypotheses!B19-0.6)/(1.25-0.6),0)</f>
        <v>3669</v>
      </c>
      <c r="N5" s="25" t="n">
        <f aca="false">ROUND(AVERAGE(B5:M5),0)</f>
        <v>3623</v>
      </c>
    </row>
    <row r="6" customFormat="false" ht="15" hidden="false" customHeight="false" outlineLevel="0" collapsed="false">
      <c r="A6" s="5" t="s">
        <v>39</v>
      </c>
      <c r="B6" s="9" t="n">
        <f aca="false">Hypotheses!C8</f>
        <v>0.45</v>
      </c>
      <c r="C6" s="13" t="n">
        <f aca="false">Hypotheses!C9</f>
        <v>0.425</v>
      </c>
      <c r="D6" s="9" t="n">
        <f aca="false">Hypotheses!C10</f>
        <v>0.575</v>
      </c>
      <c r="E6" s="13" t="n">
        <f aca="false">Hypotheses!C11</f>
        <v>0.625</v>
      </c>
      <c r="F6" s="9" t="n">
        <f aca="false">Hypotheses!C12</f>
        <v>0.525</v>
      </c>
      <c r="G6" s="13" t="n">
        <f aca="false">Hypotheses!C13</f>
        <v>0.375</v>
      </c>
      <c r="H6" s="9" t="n">
        <f aca="false">Hypotheses!C14</f>
        <v>0.325</v>
      </c>
      <c r="I6" s="13" t="n">
        <f aca="false">Hypotheses!C15</f>
        <v>0.35</v>
      </c>
      <c r="J6" s="9" t="n">
        <f aca="false">Hypotheses!C16</f>
        <v>0.3</v>
      </c>
      <c r="K6" s="13" t="n">
        <f aca="false">Hypotheses!C17</f>
        <v>0.6</v>
      </c>
      <c r="L6" s="9" t="n">
        <f aca="false">Hypotheses!C18</f>
        <v>0.575</v>
      </c>
      <c r="M6" s="13" t="n">
        <f aca="false">Hypotheses!C19</f>
        <v>0.475</v>
      </c>
      <c r="N6" s="26" t="n">
        <f aca="false">AVERAGE(B6:M6)</f>
        <v>0.466666666666667</v>
      </c>
    </row>
    <row r="7" customFormat="false" ht="15" hidden="false" customHeight="false" outlineLevel="0" collapsed="false">
      <c r="A7" s="5" t="s">
        <v>40</v>
      </c>
      <c r="B7" s="27" t="n">
        <f aca="false">Hypotheses!D8</f>
        <v>14</v>
      </c>
      <c r="C7" s="28" t="n">
        <f aca="false">Hypotheses!D9</f>
        <v>13</v>
      </c>
      <c r="D7" s="27" t="n">
        <f aca="false">Hypotheses!D10</f>
        <v>17</v>
      </c>
      <c r="E7" s="28" t="n">
        <f aca="false">Hypotheses!D11</f>
        <v>19</v>
      </c>
      <c r="F7" s="27" t="n">
        <f aca="false">Hypotheses!D12</f>
        <v>16</v>
      </c>
      <c r="G7" s="28" t="n">
        <f aca="false">Hypotheses!D13</f>
        <v>11</v>
      </c>
      <c r="H7" s="27" t="n">
        <f aca="false">Hypotheses!D14</f>
        <v>10</v>
      </c>
      <c r="I7" s="28" t="n">
        <f aca="false">Hypotheses!D15</f>
        <v>11</v>
      </c>
      <c r="J7" s="27" t="n">
        <f aca="false">Hypotheses!D16</f>
        <v>9</v>
      </c>
      <c r="K7" s="28" t="n">
        <f aca="false">Hypotheses!D17</f>
        <v>18</v>
      </c>
      <c r="L7" s="27" t="n">
        <f aca="false">Hypotheses!D18</f>
        <v>17</v>
      </c>
      <c r="M7" s="28" t="n">
        <f aca="false">Hypotheses!D19</f>
        <v>14</v>
      </c>
      <c r="N7" s="29" t="n">
        <f aca="false">SUM(B7:M7)</f>
        <v>169</v>
      </c>
    </row>
    <row r="8" customFormat="false" ht="15" hidden="false" customHeight="false" outlineLevel="0" collapsed="false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</row>
    <row r="9" customFormat="false" ht="15" hidden="false" customHeight="false" outlineLevel="0" collapsed="false">
      <c r="A9" s="31" t="s">
        <v>41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</row>
    <row r="10" customFormat="false" ht="15" hidden="false" customHeight="false" outlineLevel="0" collapsed="false">
      <c r="A10" s="32" t="s">
        <v>42</v>
      </c>
      <c r="B10" s="23" t="n">
        <f aca="false">B5*B7</f>
        <v>49434</v>
      </c>
      <c r="C10" s="24" t="n">
        <f aca="false">C5*C7</f>
        <v>44096</v>
      </c>
      <c r="D10" s="23" t="n">
        <f aca="false">D5*D7</f>
        <v>71791</v>
      </c>
      <c r="E10" s="24" t="n">
        <f aca="false">E5*E7</f>
        <v>85500</v>
      </c>
      <c r="F10" s="23" t="n">
        <f aca="false">F5*F7</f>
        <v>63136</v>
      </c>
      <c r="G10" s="24" t="n">
        <f aca="false">G5*G7</f>
        <v>34265</v>
      </c>
      <c r="H10" s="23" t="n">
        <f aca="false">H5*H7</f>
        <v>28380</v>
      </c>
      <c r="I10" s="24" t="n">
        <f aca="false">I5*I7</f>
        <v>32747</v>
      </c>
      <c r="J10" s="23" t="n">
        <f aca="false">J5*J7</f>
        <v>24300</v>
      </c>
      <c r="K10" s="24" t="n">
        <f aca="false">K5*K7</f>
        <v>78516</v>
      </c>
      <c r="L10" s="23" t="n">
        <f aca="false">L5*L7</f>
        <v>71791</v>
      </c>
      <c r="M10" s="24" t="n">
        <f aca="false">M5*M7</f>
        <v>51366</v>
      </c>
      <c r="N10" s="25" t="n">
        <f aca="false">SUM(B10:M10)</f>
        <v>635322</v>
      </c>
    </row>
    <row r="11" customFormat="false" ht="15" hidden="false" customHeight="false" outlineLevel="0" collapsed="false">
      <c r="A11" s="32" t="s">
        <v>43</v>
      </c>
      <c r="B11" s="23" t="n">
        <f aca="false">B10*Hypotheses!$B$29</f>
        <v>8898.12</v>
      </c>
      <c r="C11" s="24" t="n">
        <f aca="false">C10*Hypotheses!$B$29</f>
        <v>7937.28</v>
      </c>
      <c r="D11" s="23" t="n">
        <f aca="false">D10*Hypotheses!$B$29</f>
        <v>12922.38</v>
      </c>
      <c r="E11" s="24" t="n">
        <f aca="false">E10*Hypotheses!$B$29</f>
        <v>15390</v>
      </c>
      <c r="F11" s="23" t="n">
        <f aca="false">F10*Hypotheses!$B$29</f>
        <v>11364.48</v>
      </c>
      <c r="G11" s="24" t="n">
        <f aca="false">G10*Hypotheses!$B$29</f>
        <v>6167.7</v>
      </c>
      <c r="H11" s="23" t="n">
        <f aca="false">H10*Hypotheses!$B$29</f>
        <v>5108.4</v>
      </c>
      <c r="I11" s="24" t="n">
        <f aca="false">I10*Hypotheses!$B$29</f>
        <v>5894.46</v>
      </c>
      <c r="J11" s="23" t="n">
        <f aca="false">J10*Hypotheses!$B$29</f>
        <v>4374</v>
      </c>
      <c r="K11" s="24" t="n">
        <f aca="false">K10*Hypotheses!$B$29</f>
        <v>14132.88</v>
      </c>
      <c r="L11" s="23" t="n">
        <f aca="false">L10*Hypotheses!$B$29</f>
        <v>12922.38</v>
      </c>
      <c r="M11" s="24" t="n">
        <f aca="false">M10*Hypotheses!$B$29</f>
        <v>9245.88</v>
      </c>
      <c r="N11" s="25" t="n">
        <f aca="false">SUM(B11:M11)</f>
        <v>114357.96</v>
      </c>
    </row>
    <row r="12" customFormat="false" ht="15" hidden="false" customHeight="false" outlineLevel="0" collapsed="false">
      <c r="A12" s="33" t="s">
        <v>44</v>
      </c>
      <c r="B12" s="34" t="n">
        <f aca="false">B10-B11</f>
        <v>40535.88</v>
      </c>
      <c r="C12" s="35" t="n">
        <f aca="false">C10-C11</f>
        <v>36158.72</v>
      </c>
      <c r="D12" s="34" t="n">
        <f aca="false">D10-D11</f>
        <v>58868.62</v>
      </c>
      <c r="E12" s="35" t="n">
        <f aca="false">E10-E11</f>
        <v>70110</v>
      </c>
      <c r="F12" s="34" t="n">
        <f aca="false">F10-F11</f>
        <v>51771.52</v>
      </c>
      <c r="G12" s="35" t="n">
        <f aca="false">G10-G11</f>
        <v>28097.3</v>
      </c>
      <c r="H12" s="34" t="n">
        <f aca="false">H10-H11</f>
        <v>23271.6</v>
      </c>
      <c r="I12" s="35" t="n">
        <f aca="false">I10-I11</f>
        <v>26852.54</v>
      </c>
      <c r="J12" s="34" t="n">
        <f aca="false">J10-J11</f>
        <v>19926</v>
      </c>
      <c r="K12" s="35" t="n">
        <f aca="false">K10-K11</f>
        <v>64383.12</v>
      </c>
      <c r="L12" s="34" t="n">
        <f aca="false">L10-L11</f>
        <v>58868.62</v>
      </c>
      <c r="M12" s="35" t="n">
        <f aca="false">M10-M11</f>
        <v>42120.12</v>
      </c>
      <c r="N12" s="36" t="n">
        <f aca="false">SUM(B12:M12)</f>
        <v>520964.04</v>
      </c>
    </row>
    <row r="13" customFormat="false" ht="15" hidden="false" customHeight="false" outlineLevel="0" collapsed="false">
      <c r="A13" s="32" t="s">
        <v>45</v>
      </c>
      <c r="B13" s="23" t="n">
        <f aca="false">ROUND(Hypotheses!$B$31*B6/Hypotheses!$B$4,0)</f>
        <v>2250</v>
      </c>
      <c r="C13" s="24" t="n">
        <f aca="false">ROUND(Hypotheses!$B$31*C6/Hypotheses!$B$4,0)</f>
        <v>2125</v>
      </c>
      <c r="D13" s="23" t="n">
        <f aca="false">ROUND(Hypotheses!$B$31*D6/Hypotheses!$B$4,0)</f>
        <v>2875</v>
      </c>
      <c r="E13" s="24" t="n">
        <f aca="false">ROUND(Hypotheses!$B$31*E6/Hypotheses!$B$4,0)</f>
        <v>3125</v>
      </c>
      <c r="F13" s="23" t="n">
        <f aca="false">ROUND(Hypotheses!$B$31*F6/Hypotheses!$B$4,0)</f>
        <v>2625</v>
      </c>
      <c r="G13" s="24" t="n">
        <f aca="false">ROUND(Hypotheses!$B$31*G6/Hypotheses!$B$4,0)</f>
        <v>1875</v>
      </c>
      <c r="H13" s="23" t="n">
        <f aca="false">ROUND(Hypotheses!$B$31*H6/Hypotheses!$B$4,0)</f>
        <v>1625</v>
      </c>
      <c r="I13" s="24" t="n">
        <f aca="false">ROUND(Hypotheses!$B$31*I6/Hypotheses!$B$4,0)</f>
        <v>1750</v>
      </c>
      <c r="J13" s="23" t="n">
        <f aca="false">ROUND(Hypotheses!$B$31*J6/Hypotheses!$B$4,0)</f>
        <v>1500</v>
      </c>
      <c r="K13" s="24" t="n">
        <f aca="false">ROUND(Hypotheses!$B$31*K6/Hypotheses!$B$4,0)</f>
        <v>3000</v>
      </c>
      <c r="L13" s="23" t="n">
        <f aca="false">ROUND(Hypotheses!$B$31*L6/Hypotheses!$B$4,0)</f>
        <v>2875</v>
      </c>
      <c r="M13" s="24" t="n">
        <f aca="false">ROUND(Hypotheses!$B$31*M6/Hypotheses!$B$4,0)</f>
        <v>2375</v>
      </c>
      <c r="N13" s="25" t="n">
        <f aca="false">SUM(B13:M13)</f>
        <v>28000</v>
      </c>
    </row>
    <row r="14" customFormat="false" ht="15" hidden="false" customHeight="false" outlineLevel="0" collapsed="false">
      <c r="A14" s="37" t="s">
        <v>46</v>
      </c>
      <c r="B14" s="38" t="n">
        <f aca="false">B11+B13</f>
        <v>11148.12</v>
      </c>
      <c r="C14" s="39" t="n">
        <f aca="false">C11+C13</f>
        <v>10062.28</v>
      </c>
      <c r="D14" s="38" t="n">
        <f aca="false">D11+D13</f>
        <v>15797.38</v>
      </c>
      <c r="E14" s="39" t="n">
        <f aca="false">E11+E13</f>
        <v>18515</v>
      </c>
      <c r="F14" s="38" t="n">
        <f aca="false">F11+F13</f>
        <v>13989.48</v>
      </c>
      <c r="G14" s="39" t="n">
        <f aca="false">G11+G13</f>
        <v>8042.7</v>
      </c>
      <c r="H14" s="38" t="n">
        <f aca="false">H11+H13</f>
        <v>6733.4</v>
      </c>
      <c r="I14" s="39" t="n">
        <f aca="false">I11+I13</f>
        <v>7644.46</v>
      </c>
      <c r="J14" s="38" t="n">
        <f aca="false">J11+J13</f>
        <v>5874</v>
      </c>
      <c r="K14" s="39" t="n">
        <f aca="false">K11+K13</f>
        <v>17132.88</v>
      </c>
      <c r="L14" s="38" t="n">
        <f aca="false">L11+L13</f>
        <v>15797.38</v>
      </c>
      <c r="M14" s="39" t="n">
        <f aca="false">M11+M13</f>
        <v>11620.88</v>
      </c>
      <c r="N14" s="40" t="n">
        <f aca="false">SUM(B14:M14)</f>
        <v>142357.96</v>
      </c>
    </row>
    <row r="16" customFormat="false" ht="15" hidden="false" customHeight="false" outlineLevel="0" collapsed="false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  <row r="17" customFormat="false" ht="15" hidden="false" customHeight="false" outlineLevel="0" collapsed="false">
      <c r="A17" s="41" t="s">
        <v>47</v>
      </c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</row>
    <row r="18" customFormat="false" ht="15" hidden="false" customHeight="false" outlineLevel="0" collapsed="false">
      <c r="A18" s="32" t="s">
        <v>42</v>
      </c>
      <c r="B18" s="23" t="n">
        <f aca="false">B10</f>
        <v>49434</v>
      </c>
      <c r="C18" s="24" t="n">
        <f aca="false">C10</f>
        <v>44096</v>
      </c>
      <c r="D18" s="23" t="n">
        <f aca="false">D10</f>
        <v>71791</v>
      </c>
      <c r="E18" s="24" t="n">
        <f aca="false">E10</f>
        <v>85500</v>
      </c>
      <c r="F18" s="23" t="n">
        <f aca="false">F10</f>
        <v>63136</v>
      </c>
      <c r="G18" s="24" t="n">
        <f aca="false">G10</f>
        <v>34265</v>
      </c>
      <c r="H18" s="23" t="n">
        <f aca="false">H10</f>
        <v>28380</v>
      </c>
      <c r="I18" s="24" t="n">
        <f aca="false">I10</f>
        <v>32747</v>
      </c>
      <c r="J18" s="23" t="n">
        <f aca="false">J10</f>
        <v>24300</v>
      </c>
      <c r="K18" s="24" t="n">
        <f aca="false">K10</f>
        <v>78516</v>
      </c>
      <c r="L18" s="23" t="n">
        <f aca="false">L10</f>
        <v>71791</v>
      </c>
      <c r="M18" s="24" t="n">
        <f aca="false">M10</f>
        <v>51366</v>
      </c>
      <c r="N18" s="25" t="n">
        <f aca="false">SUM(B18:M18)</f>
        <v>635322</v>
      </c>
    </row>
    <row r="19" customFormat="false" ht="15" hidden="false" customHeight="false" outlineLevel="0" collapsed="false">
      <c r="A19" s="32" t="s">
        <v>48</v>
      </c>
      <c r="B19" s="23" t="n">
        <f aca="false">B18*Hypotheses!$B$30</f>
        <v>12358.5</v>
      </c>
      <c r="C19" s="24" t="n">
        <f aca="false">C18*Hypotheses!$B$30</f>
        <v>11024</v>
      </c>
      <c r="D19" s="23" t="n">
        <f aca="false">D18*Hypotheses!$B$30</f>
        <v>17947.75</v>
      </c>
      <c r="E19" s="24" t="n">
        <f aca="false">E18*Hypotheses!$B$30</f>
        <v>21375</v>
      </c>
      <c r="F19" s="23" t="n">
        <f aca="false">F18*Hypotheses!$B$30</f>
        <v>15784</v>
      </c>
      <c r="G19" s="24" t="n">
        <f aca="false">G18*Hypotheses!$B$30</f>
        <v>8566.25</v>
      </c>
      <c r="H19" s="23" t="n">
        <f aca="false">H18*Hypotheses!$B$30</f>
        <v>7095</v>
      </c>
      <c r="I19" s="24" t="n">
        <f aca="false">I18*Hypotheses!$B$30</f>
        <v>8186.75</v>
      </c>
      <c r="J19" s="23" t="n">
        <f aca="false">J18*Hypotheses!$B$30</f>
        <v>6075</v>
      </c>
      <c r="K19" s="24" t="n">
        <f aca="false">K18*Hypotheses!$B$30</f>
        <v>19629</v>
      </c>
      <c r="L19" s="23" t="n">
        <f aca="false">L18*Hypotheses!$B$30</f>
        <v>17947.75</v>
      </c>
      <c r="M19" s="24" t="n">
        <f aca="false">M18*Hypotheses!$B$30</f>
        <v>12841.5</v>
      </c>
      <c r="N19" s="25" t="n">
        <f aca="false">SUM(B19:M19)</f>
        <v>158830.5</v>
      </c>
    </row>
    <row r="20" customFormat="false" ht="15" hidden="false" customHeight="false" outlineLevel="0" collapsed="false">
      <c r="A20" s="32" t="s">
        <v>49</v>
      </c>
      <c r="B20" s="23" t="n">
        <f aca="false">Hypotheses!$B$32</f>
        <v>7000</v>
      </c>
      <c r="C20" s="24" t="n">
        <f aca="false">Hypotheses!$B$32</f>
        <v>7000</v>
      </c>
      <c r="D20" s="23" t="n">
        <f aca="false">Hypotheses!$B$32</f>
        <v>7000</v>
      </c>
      <c r="E20" s="24" t="n">
        <f aca="false">Hypotheses!$B$32</f>
        <v>7000</v>
      </c>
      <c r="F20" s="23" t="n">
        <f aca="false">Hypotheses!$B$32</f>
        <v>7000</v>
      </c>
      <c r="G20" s="24" t="n">
        <f aca="false">Hypotheses!$B$32</f>
        <v>7000</v>
      </c>
      <c r="H20" s="23" t="n">
        <f aca="false">Hypotheses!$B$32</f>
        <v>7000</v>
      </c>
      <c r="I20" s="24" t="n">
        <f aca="false">Hypotheses!$B$32</f>
        <v>7000</v>
      </c>
      <c r="J20" s="23" t="n">
        <f aca="false">Hypotheses!$B$32</f>
        <v>7000</v>
      </c>
      <c r="K20" s="24" t="n">
        <f aca="false">Hypotheses!$B$32</f>
        <v>7000</v>
      </c>
      <c r="L20" s="23" t="n">
        <f aca="false">Hypotheses!$B$32</f>
        <v>7000</v>
      </c>
      <c r="M20" s="24" t="n">
        <f aca="false">Hypotheses!$B$32</f>
        <v>7000</v>
      </c>
      <c r="N20" s="25" t="n">
        <f aca="false">SUM(B20:M20)</f>
        <v>84000</v>
      </c>
    </row>
    <row r="21" customFormat="false" ht="15" hidden="false" customHeight="false" outlineLevel="0" collapsed="false">
      <c r="A21" s="33" t="s">
        <v>44</v>
      </c>
      <c r="B21" s="34" t="n">
        <f aca="false">B18-B19</f>
        <v>37075.5</v>
      </c>
      <c r="C21" s="35" t="n">
        <f aca="false">C18-C19</f>
        <v>33072</v>
      </c>
      <c r="D21" s="34" t="n">
        <f aca="false">D18-D19</f>
        <v>53843.25</v>
      </c>
      <c r="E21" s="35" t="n">
        <f aca="false">E18-E19</f>
        <v>64125</v>
      </c>
      <c r="F21" s="34" t="n">
        <f aca="false">F18-F19</f>
        <v>47352</v>
      </c>
      <c r="G21" s="35" t="n">
        <f aca="false">G18-G19</f>
        <v>25698.75</v>
      </c>
      <c r="H21" s="34" t="n">
        <f aca="false">H18-H19</f>
        <v>21285</v>
      </c>
      <c r="I21" s="35" t="n">
        <f aca="false">I18-I19</f>
        <v>24560.25</v>
      </c>
      <c r="J21" s="34" t="n">
        <f aca="false">J18-J19</f>
        <v>18225</v>
      </c>
      <c r="K21" s="35" t="n">
        <f aca="false">K18-K19</f>
        <v>58887</v>
      </c>
      <c r="L21" s="34" t="n">
        <f aca="false">L18-L19</f>
        <v>53843.25</v>
      </c>
      <c r="M21" s="35" t="n">
        <f aca="false">M18-M19</f>
        <v>38524.5</v>
      </c>
      <c r="N21" s="36" t="n">
        <f aca="false">SUM(B21:M21)</f>
        <v>476491.5</v>
      </c>
    </row>
    <row r="22" customFormat="false" ht="15" hidden="false" customHeight="false" outlineLevel="0" collapsed="false">
      <c r="A22" s="32" t="s">
        <v>45</v>
      </c>
      <c r="B22" s="23" t="n">
        <f aca="false">B13</f>
        <v>2250</v>
      </c>
      <c r="C22" s="24" t="n">
        <f aca="false">C13</f>
        <v>2125</v>
      </c>
      <c r="D22" s="23" t="n">
        <f aca="false">D13</f>
        <v>2875</v>
      </c>
      <c r="E22" s="24" t="n">
        <f aca="false">E13</f>
        <v>3125</v>
      </c>
      <c r="F22" s="23" t="n">
        <f aca="false">F13</f>
        <v>2625</v>
      </c>
      <c r="G22" s="24" t="n">
        <f aca="false">G13</f>
        <v>1875</v>
      </c>
      <c r="H22" s="23" t="n">
        <f aca="false">H13</f>
        <v>1625</v>
      </c>
      <c r="I22" s="24" t="n">
        <f aca="false">I13</f>
        <v>1750</v>
      </c>
      <c r="J22" s="23" t="n">
        <f aca="false">J13</f>
        <v>1500</v>
      </c>
      <c r="K22" s="24" t="n">
        <f aca="false">K13</f>
        <v>3000</v>
      </c>
      <c r="L22" s="23" t="n">
        <f aca="false">L13</f>
        <v>2875</v>
      </c>
      <c r="M22" s="24" t="n">
        <f aca="false">M13</f>
        <v>2375</v>
      </c>
      <c r="N22" s="25" t="n">
        <f aca="false">SUM(B22:M22)</f>
        <v>28000</v>
      </c>
    </row>
    <row r="23" customFormat="false" ht="15" hidden="false" customHeight="false" outlineLevel="0" collapsed="false">
      <c r="A23" s="42" t="s">
        <v>50</v>
      </c>
      <c r="B23" s="43" t="n">
        <f aca="false">B19-B20+B22</f>
        <v>7608.5</v>
      </c>
      <c r="C23" s="44" t="n">
        <f aca="false">C19-C20+C22</f>
        <v>6149</v>
      </c>
      <c r="D23" s="43" t="n">
        <f aca="false">D19-D20+D22</f>
        <v>13822.75</v>
      </c>
      <c r="E23" s="44" t="n">
        <f aca="false">E19-E20+E22</f>
        <v>17500</v>
      </c>
      <c r="F23" s="43" t="n">
        <f aca="false">F19-F20+F22</f>
        <v>11409</v>
      </c>
      <c r="G23" s="44" t="n">
        <f aca="false">G19-G20+G22</f>
        <v>3441.25</v>
      </c>
      <c r="H23" s="43" t="n">
        <f aca="false">H19-H20+H22</f>
        <v>1720</v>
      </c>
      <c r="I23" s="44" t="n">
        <f aca="false">I19-I20+I22</f>
        <v>2936.75</v>
      </c>
      <c r="J23" s="43" t="n">
        <f aca="false">J19-J20+J22</f>
        <v>575</v>
      </c>
      <c r="K23" s="44" t="n">
        <f aca="false">K19-K20+K22</f>
        <v>15629</v>
      </c>
      <c r="L23" s="43" t="n">
        <f aca="false">L19-L20+L22</f>
        <v>13822.75</v>
      </c>
      <c r="M23" s="44" t="n">
        <f aca="false">M19-M20+M22</f>
        <v>8216.5</v>
      </c>
      <c r="N23" s="45" t="n">
        <f aca="false">SUM(B23:M23)</f>
        <v>102830.5</v>
      </c>
    </row>
    <row r="24" customFormat="false" ht="15" hidden="false" customHeight="false" outlineLevel="0" collapsed="false">
      <c r="A24" s="33" t="s">
        <v>51</v>
      </c>
      <c r="B24" s="34" t="n">
        <f aca="false">B19+B22</f>
        <v>14608.5</v>
      </c>
      <c r="C24" s="35" t="n">
        <f aca="false">C19+C22</f>
        <v>13149</v>
      </c>
      <c r="D24" s="34" t="n">
        <f aca="false">D19+D22</f>
        <v>20822.75</v>
      </c>
      <c r="E24" s="35" t="n">
        <f aca="false">E19+E22</f>
        <v>24500</v>
      </c>
      <c r="F24" s="34" t="n">
        <f aca="false">F19+F22</f>
        <v>18409</v>
      </c>
      <c r="G24" s="35" t="n">
        <f aca="false">G19+G22</f>
        <v>10441.25</v>
      </c>
      <c r="H24" s="34" t="n">
        <f aca="false">H19+H22</f>
        <v>8720</v>
      </c>
      <c r="I24" s="35" t="n">
        <f aca="false">I19+I22</f>
        <v>9936.75</v>
      </c>
      <c r="J24" s="34" t="n">
        <f aca="false">J19+J22</f>
        <v>7575</v>
      </c>
      <c r="K24" s="35" t="n">
        <f aca="false">K19+K22</f>
        <v>22629</v>
      </c>
      <c r="L24" s="34" t="n">
        <f aca="false">L19+L22</f>
        <v>20822.75</v>
      </c>
      <c r="M24" s="35" t="n">
        <f aca="false">M19+M22</f>
        <v>15216.5</v>
      </c>
      <c r="N24" s="46" t="n">
        <f aca="false">SUM(B24:M24)</f>
        <v>186830.5</v>
      </c>
    </row>
    <row r="26" customFormat="false" ht="15" hidden="false" customHeight="false" outlineLevel="0" collapsed="false">
      <c r="A26" s="47" t="s">
        <v>52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</row>
    <row r="27" customFormat="false" ht="15" hidden="false" customHeight="false" outlineLevel="0" collapsed="false">
      <c r="A27" s="32" t="s">
        <v>53</v>
      </c>
      <c r="B27" s="23" t="n">
        <f aca="false">B21-B12</f>
        <v>-3460.38</v>
      </c>
      <c r="C27" s="24" t="n">
        <f aca="false">C21-C12</f>
        <v>-3086.72</v>
      </c>
      <c r="D27" s="23" t="n">
        <f aca="false">D21-D12</f>
        <v>-5025.37</v>
      </c>
      <c r="E27" s="24" t="n">
        <f aca="false">E21-E12</f>
        <v>-5985</v>
      </c>
      <c r="F27" s="23" t="n">
        <f aca="false">F21-F12</f>
        <v>-4419.52</v>
      </c>
      <c r="G27" s="24" t="n">
        <f aca="false">G21-G12</f>
        <v>-2398.55</v>
      </c>
      <c r="H27" s="23" t="n">
        <f aca="false">H21-H12</f>
        <v>-1986.6</v>
      </c>
      <c r="I27" s="24" t="n">
        <f aca="false">I21-I12</f>
        <v>-2292.29</v>
      </c>
      <c r="J27" s="23" t="n">
        <f aca="false">J21-J12</f>
        <v>-1701</v>
      </c>
      <c r="K27" s="24" t="n">
        <f aca="false">K21-K12</f>
        <v>-5496.12</v>
      </c>
      <c r="L27" s="23" t="n">
        <f aca="false">L21-L12</f>
        <v>-5025.37</v>
      </c>
      <c r="M27" s="24" t="n">
        <f aca="false">M21-M12</f>
        <v>-3595.62</v>
      </c>
      <c r="N27" s="25" t="n">
        <f aca="false">SUM(B27:M27)</f>
        <v>-44472.54</v>
      </c>
    </row>
    <row r="28" customFormat="false" ht="15" hidden="false" customHeight="false" outlineLevel="0" collapsed="false">
      <c r="A28" s="32" t="s">
        <v>54</v>
      </c>
      <c r="B28" s="23" t="n">
        <f aca="false">B23-B14</f>
        <v>-3539.62</v>
      </c>
      <c r="C28" s="24" t="n">
        <f aca="false">C23-C14</f>
        <v>-3913.28</v>
      </c>
      <c r="D28" s="23" t="n">
        <f aca="false">D23-D14</f>
        <v>-1974.63</v>
      </c>
      <c r="E28" s="24" t="n">
        <f aca="false">E23-E14</f>
        <v>-1015</v>
      </c>
      <c r="F28" s="23" t="n">
        <f aca="false">F23-F14</f>
        <v>-2580.48</v>
      </c>
      <c r="G28" s="24" t="n">
        <f aca="false">G23-G14</f>
        <v>-4601.45</v>
      </c>
      <c r="H28" s="23" t="n">
        <f aca="false">H23-H14</f>
        <v>-5013.4</v>
      </c>
      <c r="I28" s="24" t="n">
        <f aca="false">I23-I14</f>
        <v>-4707.71</v>
      </c>
      <c r="J28" s="23" t="n">
        <f aca="false">J23-J14</f>
        <v>-5299</v>
      </c>
      <c r="K28" s="24" t="n">
        <f aca="false">K23-K14</f>
        <v>-1503.88</v>
      </c>
      <c r="L28" s="23" t="n">
        <f aca="false">L23-L14</f>
        <v>-1974.63</v>
      </c>
      <c r="M28" s="24" t="n">
        <f aca="false">M23-M14</f>
        <v>-3404.38</v>
      </c>
      <c r="N28" s="48" t="n">
        <f aca="false">SUM(B28:M28)</f>
        <v>-39527.46</v>
      </c>
    </row>
  </sheetData>
  <mergeCells count="7">
    <mergeCell ref="A1:N1"/>
    <mergeCell ref="A2:N2"/>
    <mergeCell ref="A8:N8"/>
    <mergeCell ref="A9:N9"/>
    <mergeCell ref="A16:N16"/>
    <mergeCell ref="A17:N17"/>
    <mergeCell ref="A26: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44AD"/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15" min="2" style="0" width="16"/>
  </cols>
  <sheetData>
    <row r="1" customFormat="false" ht="16.15" hidden="false" customHeight="false" outlineLevel="0" collapsed="false">
      <c r="A1" s="21" t="s">
        <v>57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customFormat="false" ht="15" hidden="false" customHeight="false" outlineLevel="0" collapsed="false">
      <c r="A2" s="22" t="s">
        <v>35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</row>
    <row r="4" customFormat="false" ht="26.85" hidden="false" customHeight="false" outlineLevel="0" collapsed="false">
      <c r="A4" s="2" t="s">
        <v>36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  <c r="G4" s="2" t="s">
        <v>13</v>
      </c>
      <c r="H4" s="2" t="s">
        <v>14</v>
      </c>
      <c r="I4" s="2" t="s">
        <v>15</v>
      </c>
      <c r="J4" s="2" t="s">
        <v>16</v>
      </c>
      <c r="K4" s="2" t="s">
        <v>17</v>
      </c>
      <c r="L4" s="2" t="s">
        <v>18</v>
      </c>
      <c r="M4" s="2" t="s">
        <v>19</v>
      </c>
      <c r="N4" s="2" t="s">
        <v>37</v>
      </c>
    </row>
    <row r="5" customFormat="false" ht="15" hidden="false" customHeight="false" outlineLevel="0" collapsed="false">
      <c r="A5" s="5" t="s">
        <v>38</v>
      </c>
      <c r="B5" s="23" t="n">
        <f aca="false">ROUND(Hypotheses!C26+(Hypotheses!B26-Hypotheses!C26)*(Hypotheses!B8-0.6)/(1.25-0.6),0)</f>
        <v>5154</v>
      </c>
      <c r="C5" s="24" t="n">
        <f aca="false">ROUND(Hypotheses!C26+(Hypotheses!B26-Hypotheses!C26)*(Hypotheses!B9-0.6)/(1.25-0.6),0)</f>
        <v>4962</v>
      </c>
      <c r="D5" s="23" t="n">
        <f aca="false">ROUND(Hypotheses!C26+(Hypotheses!B26-Hypotheses!C26)*(Hypotheses!B10-0.6)/(1.25-0.6),0)</f>
        <v>6115</v>
      </c>
      <c r="E5" s="24" t="n">
        <f aca="false">ROUND(Hypotheses!C26+(Hypotheses!B26-Hypotheses!C26)*(Hypotheses!B11-0.6)/(1.25-0.6),0)</f>
        <v>6500</v>
      </c>
      <c r="F5" s="23" t="n">
        <f aca="false">ROUND(Hypotheses!C26+(Hypotheses!B26-Hypotheses!C26)*(Hypotheses!B12-0.6)/(1.25-0.6),0)</f>
        <v>5731</v>
      </c>
      <c r="G5" s="24" t="n">
        <f aca="false">ROUND(Hypotheses!C26+(Hypotheses!B26-Hypotheses!C26)*(Hypotheses!B13-0.6)/(1.25-0.6),0)</f>
        <v>4577</v>
      </c>
      <c r="H5" s="23" t="n">
        <f aca="false">ROUND(Hypotheses!C26+(Hypotheses!B26-Hypotheses!C26)*(Hypotheses!B14-0.6)/(1.25-0.6),0)</f>
        <v>4192</v>
      </c>
      <c r="I5" s="24" t="n">
        <f aca="false">ROUND(Hypotheses!C26+(Hypotheses!B26-Hypotheses!C26)*(Hypotheses!B15-0.6)/(1.25-0.6),0)</f>
        <v>4385</v>
      </c>
      <c r="J5" s="23" t="n">
        <f aca="false">ROUND(Hypotheses!C26+(Hypotheses!B26-Hypotheses!C26)*(Hypotheses!B16-0.6)/(1.25-0.6),0)</f>
        <v>4000</v>
      </c>
      <c r="K5" s="24" t="n">
        <f aca="false">ROUND(Hypotheses!C26+(Hypotheses!B26-Hypotheses!C26)*(Hypotheses!B17-0.6)/(1.25-0.6),0)</f>
        <v>6308</v>
      </c>
      <c r="L5" s="23" t="n">
        <f aca="false">ROUND(Hypotheses!C26+(Hypotheses!B26-Hypotheses!C26)*(Hypotheses!B18-0.6)/(1.25-0.6),0)</f>
        <v>6115</v>
      </c>
      <c r="M5" s="24" t="n">
        <f aca="false">ROUND(Hypotheses!C26+(Hypotheses!B26-Hypotheses!C26)*(Hypotheses!B19-0.6)/(1.25-0.6),0)</f>
        <v>5346</v>
      </c>
      <c r="N5" s="25" t="n">
        <f aca="false">ROUND(AVERAGE(B5:M5),0)</f>
        <v>5282</v>
      </c>
    </row>
    <row r="6" customFormat="false" ht="15" hidden="false" customHeight="false" outlineLevel="0" collapsed="false">
      <c r="A6" s="5" t="s">
        <v>39</v>
      </c>
      <c r="B6" s="9" t="n">
        <f aca="false">Hypotheses!C8</f>
        <v>0.45</v>
      </c>
      <c r="C6" s="13" t="n">
        <f aca="false">Hypotheses!C9</f>
        <v>0.425</v>
      </c>
      <c r="D6" s="9" t="n">
        <f aca="false">Hypotheses!C10</f>
        <v>0.575</v>
      </c>
      <c r="E6" s="13" t="n">
        <f aca="false">Hypotheses!C11</f>
        <v>0.625</v>
      </c>
      <c r="F6" s="9" t="n">
        <f aca="false">Hypotheses!C12</f>
        <v>0.525</v>
      </c>
      <c r="G6" s="13" t="n">
        <f aca="false">Hypotheses!C13</f>
        <v>0.375</v>
      </c>
      <c r="H6" s="9" t="n">
        <f aca="false">Hypotheses!C14</f>
        <v>0.325</v>
      </c>
      <c r="I6" s="13" t="n">
        <f aca="false">Hypotheses!C15</f>
        <v>0.35</v>
      </c>
      <c r="J6" s="9" t="n">
        <f aca="false">Hypotheses!C16</f>
        <v>0.3</v>
      </c>
      <c r="K6" s="13" t="n">
        <f aca="false">Hypotheses!C17</f>
        <v>0.6</v>
      </c>
      <c r="L6" s="9" t="n">
        <f aca="false">Hypotheses!C18</f>
        <v>0.575</v>
      </c>
      <c r="M6" s="13" t="n">
        <f aca="false">Hypotheses!C19</f>
        <v>0.475</v>
      </c>
      <c r="N6" s="26" t="n">
        <f aca="false">AVERAGE(B6:M6)</f>
        <v>0.466666666666667</v>
      </c>
    </row>
    <row r="7" customFormat="false" ht="15" hidden="false" customHeight="false" outlineLevel="0" collapsed="false">
      <c r="A7" s="5" t="s">
        <v>40</v>
      </c>
      <c r="B7" s="27" t="n">
        <f aca="false">Hypotheses!D8</f>
        <v>14</v>
      </c>
      <c r="C7" s="28" t="n">
        <f aca="false">Hypotheses!D9</f>
        <v>13</v>
      </c>
      <c r="D7" s="27" t="n">
        <f aca="false">Hypotheses!D10</f>
        <v>17</v>
      </c>
      <c r="E7" s="28" t="n">
        <f aca="false">Hypotheses!D11</f>
        <v>19</v>
      </c>
      <c r="F7" s="27" t="n">
        <f aca="false">Hypotheses!D12</f>
        <v>16</v>
      </c>
      <c r="G7" s="28" t="n">
        <f aca="false">Hypotheses!D13</f>
        <v>11</v>
      </c>
      <c r="H7" s="27" t="n">
        <f aca="false">Hypotheses!D14</f>
        <v>10</v>
      </c>
      <c r="I7" s="28" t="n">
        <f aca="false">Hypotheses!D15</f>
        <v>11</v>
      </c>
      <c r="J7" s="27" t="n">
        <f aca="false">Hypotheses!D16</f>
        <v>9</v>
      </c>
      <c r="K7" s="28" t="n">
        <f aca="false">Hypotheses!D17</f>
        <v>18</v>
      </c>
      <c r="L7" s="27" t="n">
        <f aca="false">Hypotheses!D18</f>
        <v>17</v>
      </c>
      <c r="M7" s="28" t="n">
        <f aca="false">Hypotheses!D19</f>
        <v>14</v>
      </c>
      <c r="N7" s="29" t="n">
        <f aca="false">SUM(B7:M7)</f>
        <v>169</v>
      </c>
    </row>
    <row r="8" customFormat="false" ht="15" hidden="false" customHeight="false" outlineLevel="0" collapsed="false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</row>
    <row r="9" customFormat="false" ht="15" hidden="false" customHeight="false" outlineLevel="0" collapsed="false">
      <c r="A9" s="31" t="s">
        <v>41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</row>
    <row r="10" customFormat="false" ht="15" hidden="false" customHeight="false" outlineLevel="0" collapsed="false">
      <c r="A10" s="32" t="s">
        <v>42</v>
      </c>
      <c r="B10" s="23" t="n">
        <f aca="false">B5*B7</f>
        <v>72156</v>
      </c>
      <c r="C10" s="24" t="n">
        <f aca="false">C5*C7</f>
        <v>64506</v>
      </c>
      <c r="D10" s="23" t="n">
        <f aca="false">D5*D7</f>
        <v>103955</v>
      </c>
      <c r="E10" s="24" t="n">
        <f aca="false">E5*E7</f>
        <v>123500</v>
      </c>
      <c r="F10" s="23" t="n">
        <f aca="false">F5*F7</f>
        <v>91696</v>
      </c>
      <c r="G10" s="24" t="n">
        <f aca="false">G5*G7</f>
        <v>50347</v>
      </c>
      <c r="H10" s="23" t="n">
        <f aca="false">H5*H7</f>
        <v>41920</v>
      </c>
      <c r="I10" s="24" t="n">
        <f aca="false">I5*I7</f>
        <v>48235</v>
      </c>
      <c r="J10" s="23" t="n">
        <f aca="false">J5*J7</f>
        <v>36000</v>
      </c>
      <c r="K10" s="24" t="n">
        <f aca="false">K5*K7</f>
        <v>113544</v>
      </c>
      <c r="L10" s="23" t="n">
        <f aca="false">L5*L7</f>
        <v>103955</v>
      </c>
      <c r="M10" s="24" t="n">
        <f aca="false">M5*M7</f>
        <v>74844</v>
      </c>
      <c r="N10" s="25" t="n">
        <f aca="false">SUM(B10:M10)</f>
        <v>924658</v>
      </c>
    </row>
    <row r="11" customFormat="false" ht="15" hidden="false" customHeight="false" outlineLevel="0" collapsed="false">
      <c r="A11" s="32" t="s">
        <v>43</v>
      </c>
      <c r="B11" s="23" t="n">
        <f aca="false">B10*Hypotheses!$B$29</f>
        <v>12988.08</v>
      </c>
      <c r="C11" s="24" t="n">
        <f aca="false">C10*Hypotheses!$B$29</f>
        <v>11611.08</v>
      </c>
      <c r="D11" s="23" t="n">
        <f aca="false">D10*Hypotheses!$B$29</f>
        <v>18711.9</v>
      </c>
      <c r="E11" s="24" t="n">
        <f aca="false">E10*Hypotheses!$B$29</f>
        <v>22230</v>
      </c>
      <c r="F11" s="23" t="n">
        <f aca="false">F10*Hypotheses!$B$29</f>
        <v>16505.28</v>
      </c>
      <c r="G11" s="24" t="n">
        <f aca="false">G10*Hypotheses!$B$29</f>
        <v>9062.46</v>
      </c>
      <c r="H11" s="23" t="n">
        <f aca="false">H10*Hypotheses!$B$29</f>
        <v>7545.6</v>
      </c>
      <c r="I11" s="24" t="n">
        <f aca="false">I10*Hypotheses!$B$29</f>
        <v>8682.3</v>
      </c>
      <c r="J11" s="23" t="n">
        <f aca="false">J10*Hypotheses!$B$29</f>
        <v>6480</v>
      </c>
      <c r="K11" s="24" t="n">
        <f aca="false">K10*Hypotheses!$B$29</f>
        <v>20437.92</v>
      </c>
      <c r="L11" s="23" t="n">
        <f aca="false">L10*Hypotheses!$B$29</f>
        <v>18711.9</v>
      </c>
      <c r="M11" s="24" t="n">
        <f aca="false">M10*Hypotheses!$B$29</f>
        <v>13471.92</v>
      </c>
      <c r="N11" s="25" t="n">
        <f aca="false">SUM(B11:M11)</f>
        <v>166438.44</v>
      </c>
    </row>
    <row r="12" customFormat="false" ht="15" hidden="false" customHeight="false" outlineLevel="0" collapsed="false">
      <c r="A12" s="33" t="s">
        <v>44</v>
      </c>
      <c r="B12" s="34" t="n">
        <f aca="false">B10-B11</f>
        <v>59167.92</v>
      </c>
      <c r="C12" s="35" t="n">
        <f aca="false">C10-C11</f>
        <v>52894.92</v>
      </c>
      <c r="D12" s="34" t="n">
        <f aca="false">D10-D11</f>
        <v>85243.1</v>
      </c>
      <c r="E12" s="35" t="n">
        <f aca="false">E10-E11</f>
        <v>101270</v>
      </c>
      <c r="F12" s="34" t="n">
        <f aca="false">F10-F11</f>
        <v>75190.72</v>
      </c>
      <c r="G12" s="35" t="n">
        <f aca="false">G10-G11</f>
        <v>41284.54</v>
      </c>
      <c r="H12" s="34" t="n">
        <f aca="false">H10-H11</f>
        <v>34374.4</v>
      </c>
      <c r="I12" s="35" t="n">
        <f aca="false">I10-I11</f>
        <v>39552.7</v>
      </c>
      <c r="J12" s="34" t="n">
        <f aca="false">J10-J11</f>
        <v>29520</v>
      </c>
      <c r="K12" s="35" t="n">
        <f aca="false">K10-K11</f>
        <v>93106.08</v>
      </c>
      <c r="L12" s="34" t="n">
        <f aca="false">L10-L11</f>
        <v>85243.1</v>
      </c>
      <c r="M12" s="35" t="n">
        <f aca="false">M10-M11</f>
        <v>61372.08</v>
      </c>
      <c r="N12" s="36" t="n">
        <f aca="false">SUM(B12:M12)</f>
        <v>758219.56</v>
      </c>
    </row>
    <row r="13" customFormat="false" ht="15" hidden="false" customHeight="false" outlineLevel="0" collapsed="false">
      <c r="A13" s="32" t="s">
        <v>45</v>
      </c>
      <c r="B13" s="23" t="n">
        <f aca="false">ROUND(Hypotheses!$B$31*B6/Hypotheses!$B$4,0)</f>
        <v>2250</v>
      </c>
      <c r="C13" s="24" t="n">
        <f aca="false">ROUND(Hypotheses!$B$31*C6/Hypotheses!$B$4,0)</f>
        <v>2125</v>
      </c>
      <c r="D13" s="23" t="n">
        <f aca="false">ROUND(Hypotheses!$B$31*D6/Hypotheses!$B$4,0)</f>
        <v>2875</v>
      </c>
      <c r="E13" s="24" t="n">
        <f aca="false">ROUND(Hypotheses!$B$31*E6/Hypotheses!$B$4,0)</f>
        <v>3125</v>
      </c>
      <c r="F13" s="23" t="n">
        <f aca="false">ROUND(Hypotheses!$B$31*F6/Hypotheses!$B$4,0)</f>
        <v>2625</v>
      </c>
      <c r="G13" s="24" t="n">
        <f aca="false">ROUND(Hypotheses!$B$31*G6/Hypotheses!$B$4,0)</f>
        <v>1875</v>
      </c>
      <c r="H13" s="23" t="n">
        <f aca="false">ROUND(Hypotheses!$B$31*H6/Hypotheses!$B$4,0)</f>
        <v>1625</v>
      </c>
      <c r="I13" s="24" t="n">
        <f aca="false">ROUND(Hypotheses!$B$31*I6/Hypotheses!$B$4,0)</f>
        <v>1750</v>
      </c>
      <c r="J13" s="23" t="n">
        <f aca="false">ROUND(Hypotheses!$B$31*J6/Hypotheses!$B$4,0)</f>
        <v>1500</v>
      </c>
      <c r="K13" s="24" t="n">
        <f aca="false">ROUND(Hypotheses!$B$31*K6/Hypotheses!$B$4,0)</f>
        <v>3000</v>
      </c>
      <c r="L13" s="23" t="n">
        <f aca="false">ROUND(Hypotheses!$B$31*L6/Hypotheses!$B$4,0)</f>
        <v>2875</v>
      </c>
      <c r="M13" s="24" t="n">
        <f aca="false">ROUND(Hypotheses!$B$31*M6/Hypotheses!$B$4,0)</f>
        <v>2375</v>
      </c>
      <c r="N13" s="25" t="n">
        <f aca="false">SUM(B13:M13)</f>
        <v>28000</v>
      </c>
    </row>
    <row r="14" customFormat="false" ht="15" hidden="false" customHeight="false" outlineLevel="0" collapsed="false">
      <c r="A14" s="37" t="s">
        <v>46</v>
      </c>
      <c r="B14" s="38" t="n">
        <f aca="false">B11+B13</f>
        <v>15238.08</v>
      </c>
      <c r="C14" s="39" t="n">
        <f aca="false">C11+C13</f>
        <v>13736.08</v>
      </c>
      <c r="D14" s="38" t="n">
        <f aca="false">D11+D13</f>
        <v>21586.9</v>
      </c>
      <c r="E14" s="39" t="n">
        <f aca="false">E11+E13</f>
        <v>25355</v>
      </c>
      <c r="F14" s="38" t="n">
        <f aca="false">F11+F13</f>
        <v>19130.28</v>
      </c>
      <c r="G14" s="39" t="n">
        <f aca="false">G11+G13</f>
        <v>10937.46</v>
      </c>
      <c r="H14" s="38" t="n">
        <f aca="false">H11+H13</f>
        <v>9170.6</v>
      </c>
      <c r="I14" s="39" t="n">
        <f aca="false">I11+I13</f>
        <v>10432.3</v>
      </c>
      <c r="J14" s="38" t="n">
        <f aca="false">J11+J13</f>
        <v>7980</v>
      </c>
      <c r="K14" s="39" t="n">
        <f aca="false">K11+K13</f>
        <v>23437.92</v>
      </c>
      <c r="L14" s="38" t="n">
        <f aca="false">L11+L13</f>
        <v>21586.9</v>
      </c>
      <c r="M14" s="39" t="n">
        <f aca="false">M11+M13</f>
        <v>15846.92</v>
      </c>
      <c r="N14" s="40" t="n">
        <f aca="false">SUM(B14:M14)</f>
        <v>194438.44</v>
      </c>
    </row>
    <row r="16" customFormat="false" ht="15" hidden="false" customHeight="false" outlineLevel="0" collapsed="false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  <row r="17" customFormat="false" ht="15" hidden="false" customHeight="false" outlineLevel="0" collapsed="false">
      <c r="A17" s="41" t="s">
        <v>47</v>
      </c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</row>
    <row r="18" customFormat="false" ht="15" hidden="false" customHeight="false" outlineLevel="0" collapsed="false">
      <c r="A18" s="32" t="s">
        <v>42</v>
      </c>
      <c r="B18" s="23" t="n">
        <f aca="false">B10</f>
        <v>72156</v>
      </c>
      <c r="C18" s="24" t="n">
        <f aca="false">C10</f>
        <v>64506</v>
      </c>
      <c r="D18" s="23" t="n">
        <f aca="false">D10</f>
        <v>103955</v>
      </c>
      <c r="E18" s="24" t="n">
        <f aca="false">E10</f>
        <v>123500</v>
      </c>
      <c r="F18" s="23" t="n">
        <f aca="false">F10</f>
        <v>91696</v>
      </c>
      <c r="G18" s="24" t="n">
        <f aca="false">G10</f>
        <v>50347</v>
      </c>
      <c r="H18" s="23" t="n">
        <f aca="false">H10</f>
        <v>41920</v>
      </c>
      <c r="I18" s="24" t="n">
        <f aca="false">I10</f>
        <v>48235</v>
      </c>
      <c r="J18" s="23" t="n">
        <f aca="false">J10</f>
        <v>36000</v>
      </c>
      <c r="K18" s="24" t="n">
        <f aca="false">K10</f>
        <v>113544</v>
      </c>
      <c r="L18" s="23" t="n">
        <f aca="false">L10</f>
        <v>103955</v>
      </c>
      <c r="M18" s="24" t="n">
        <f aca="false">M10</f>
        <v>74844</v>
      </c>
      <c r="N18" s="25" t="n">
        <f aca="false">SUM(B18:M18)</f>
        <v>924658</v>
      </c>
    </row>
    <row r="19" customFormat="false" ht="15" hidden="false" customHeight="false" outlineLevel="0" collapsed="false">
      <c r="A19" s="32" t="s">
        <v>48</v>
      </c>
      <c r="B19" s="23" t="n">
        <f aca="false">B18*Hypotheses!$B$30</f>
        <v>18039</v>
      </c>
      <c r="C19" s="24" t="n">
        <f aca="false">C18*Hypotheses!$B$30</f>
        <v>16126.5</v>
      </c>
      <c r="D19" s="23" t="n">
        <f aca="false">D18*Hypotheses!$B$30</f>
        <v>25988.75</v>
      </c>
      <c r="E19" s="24" t="n">
        <f aca="false">E18*Hypotheses!$B$30</f>
        <v>30875</v>
      </c>
      <c r="F19" s="23" t="n">
        <f aca="false">F18*Hypotheses!$B$30</f>
        <v>22924</v>
      </c>
      <c r="G19" s="24" t="n">
        <f aca="false">G18*Hypotheses!$B$30</f>
        <v>12586.75</v>
      </c>
      <c r="H19" s="23" t="n">
        <f aca="false">H18*Hypotheses!$B$30</f>
        <v>10480</v>
      </c>
      <c r="I19" s="24" t="n">
        <f aca="false">I18*Hypotheses!$B$30</f>
        <v>12058.75</v>
      </c>
      <c r="J19" s="23" t="n">
        <f aca="false">J18*Hypotheses!$B$30</f>
        <v>9000</v>
      </c>
      <c r="K19" s="24" t="n">
        <f aca="false">K18*Hypotheses!$B$30</f>
        <v>28386</v>
      </c>
      <c r="L19" s="23" t="n">
        <f aca="false">L18*Hypotheses!$B$30</f>
        <v>25988.75</v>
      </c>
      <c r="M19" s="24" t="n">
        <f aca="false">M18*Hypotheses!$B$30</f>
        <v>18711</v>
      </c>
      <c r="N19" s="25" t="n">
        <f aca="false">SUM(B19:M19)</f>
        <v>231164.5</v>
      </c>
    </row>
    <row r="20" customFormat="false" ht="15" hidden="false" customHeight="false" outlineLevel="0" collapsed="false">
      <c r="A20" s="32" t="s">
        <v>49</v>
      </c>
      <c r="B20" s="23" t="n">
        <f aca="false">Hypotheses!$B$32</f>
        <v>7000</v>
      </c>
      <c r="C20" s="24" t="n">
        <f aca="false">Hypotheses!$B$32</f>
        <v>7000</v>
      </c>
      <c r="D20" s="23" t="n">
        <f aca="false">Hypotheses!$B$32</f>
        <v>7000</v>
      </c>
      <c r="E20" s="24" t="n">
        <f aca="false">Hypotheses!$B$32</f>
        <v>7000</v>
      </c>
      <c r="F20" s="23" t="n">
        <f aca="false">Hypotheses!$B$32</f>
        <v>7000</v>
      </c>
      <c r="G20" s="24" t="n">
        <f aca="false">Hypotheses!$B$32</f>
        <v>7000</v>
      </c>
      <c r="H20" s="23" t="n">
        <f aca="false">Hypotheses!$B$32</f>
        <v>7000</v>
      </c>
      <c r="I20" s="24" t="n">
        <f aca="false">Hypotheses!$B$32</f>
        <v>7000</v>
      </c>
      <c r="J20" s="23" t="n">
        <f aca="false">Hypotheses!$B$32</f>
        <v>7000</v>
      </c>
      <c r="K20" s="24" t="n">
        <f aca="false">Hypotheses!$B$32</f>
        <v>7000</v>
      </c>
      <c r="L20" s="23" t="n">
        <f aca="false">Hypotheses!$B$32</f>
        <v>7000</v>
      </c>
      <c r="M20" s="24" t="n">
        <f aca="false">Hypotheses!$B$32</f>
        <v>7000</v>
      </c>
      <c r="N20" s="25" t="n">
        <f aca="false">SUM(B20:M20)</f>
        <v>84000</v>
      </c>
    </row>
    <row r="21" customFormat="false" ht="15" hidden="false" customHeight="false" outlineLevel="0" collapsed="false">
      <c r="A21" s="33" t="s">
        <v>44</v>
      </c>
      <c r="B21" s="34" t="n">
        <f aca="false">B18-B19</f>
        <v>54117</v>
      </c>
      <c r="C21" s="35" t="n">
        <f aca="false">C18-C19</f>
        <v>48379.5</v>
      </c>
      <c r="D21" s="34" t="n">
        <f aca="false">D18-D19</f>
        <v>77966.25</v>
      </c>
      <c r="E21" s="35" t="n">
        <f aca="false">E18-E19</f>
        <v>92625</v>
      </c>
      <c r="F21" s="34" t="n">
        <f aca="false">F18-F19</f>
        <v>68772</v>
      </c>
      <c r="G21" s="35" t="n">
        <f aca="false">G18-G19</f>
        <v>37760.25</v>
      </c>
      <c r="H21" s="34" t="n">
        <f aca="false">H18-H19</f>
        <v>31440</v>
      </c>
      <c r="I21" s="35" t="n">
        <f aca="false">I18-I19</f>
        <v>36176.25</v>
      </c>
      <c r="J21" s="34" t="n">
        <f aca="false">J18-J19</f>
        <v>27000</v>
      </c>
      <c r="K21" s="35" t="n">
        <f aca="false">K18-K19</f>
        <v>85158</v>
      </c>
      <c r="L21" s="34" t="n">
        <f aca="false">L18-L19</f>
        <v>77966.25</v>
      </c>
      <c r="M21" s="35" t="n">
        <f aca="false">M18-M19</f>
        <v>56133</v>
      </c>
      <c r="N21" s="36" t="n">
        <f aca="false">SUM(B21:M21)</f>
        <v>693493.5</v>
      </c>
    </row>
    <row r="22" customFormat="false" ht="15" hidden="false" customHeight="false" outlineLevel="0" collapsed="false">
      <c r="A22" s="32" t="s">
        <v>45</v>
      </c>
      <c r="B22" s="23" t="n">
        <f aca="false">B13</f>
        <v>2250</v>
      </c>
      <c r="C22" s="24" t="n">
        <f aca="false">C13</f>
        <v>2125</v>
      </c>
      <c r="D22" s="23" t="n">
        <f aca="false">D13</f>
        <v>2875</v>
      </c>
      <c r="E22" s="24" t="n">
        <f aca="false">E13</f>
        <v>3125</v>
      </c>
      <c r="F22" s="23" t="n">
        <f aca="false">F13</f>
        <v>2625</v>
      </c>
      <c r="G22" s="24" t="n">
        <f aca="false">G13</f>
        <v>1875</v>
      </c>
      <c r="H22" s="23" t="n">
        <f aca="false">H13</f>
        <v>1625</v>
      </c>
      <c r="I22" s="24" t="n">
        <f aca="false">I13</f>
        <v>1750</v>
      </c>
      <c r="J22" s="23" t="n">
        <f aca="false">J13</f>
        <v>1500</v>
      </c>
      <c r="K22" s="24" t="n">
        <f aca="false">K13</f>
        <v>3000</v>
      </c>
      <c r="L22" s="23" t="n">
        <f aca="false">L13</f>
        <v>2875</v>
      </c>
      <c r="M22" s="24" t="n">
        <f aca="false">M13</f>
        <v>2375</v>
      </c>
      <c r="N22" s="25" t="n">
        <f aca="false">SUM(B22:M22)</f>
        <v>28000</v>
      </c>
    </row>
    <row r="23" customFormat="false" ht="15" hidden="false" customHeight="false" outlineLevel="0" collapsed="false">
      <c r="A23" s="42" t="s">
        <v>50</v>
      </c>
      <c r="B23" s="43" t="n">
        <f aca="false">B19-B20+B22</f>
        <v>13289</v>
      </c>
      <c r="C23" s="44" t="n">
        <f aca="false">C19-C20+C22</f>
        <v>11251.5</v>
      </c>
      <c r="D23" s="43" t="n">
        <f aca="false">D19-D20+D22</f>
        <v>21863.75</v>
      </c>
      <c r="E23" s="44" t="n">
        <f aca="false">E19-E20+E22</f>
        <v>27000</v>
      </c>
      <c r="F23" s="43" t="n">
        <f aca="false">F19-F20+F22</f>
        <v>18549</v>
      </c>
      <c r="G23" s="44" t="n">
        <f aca="false">G19-G20+G22</f>
        <v>7461.75</v>
      </c>
      <c r="H23" s="43" t="n">
        <f aca="false">H19-H20+H22</f>
        <v>5105</v>
      </c>
      <c r="I23" s="44" t="n">
        <f aca="false">I19-I20+I22</f>
        <v>6808.75</v>
      </c>
      <c r="J23" s="43" t="n">
        <f aca="false">J19-J20+J22</f>
        <v>3500</v>
      </c>
      <c r="K23" s="44" t="n">
        <f aca="false">K19-K20+K22</f>
        <v>24386</v>
      </c>
      <c r="L23" s="43" t="n">
        <f aca="false">L19-L20+L22</f>
        <v>21863.75</v>
      </c>
      <c r="M23" s="44" t="n">
        <f aca="false">M19-M20+M22</f>
        <v>14086</v>
      </c>
      <c r="N23" s="45" t="n">
        <f aca="false">SUM(B23:M23)</f>
        <v>175164.5</v>
      </c>
    </row>
    <row r="24" customFormat="false" ht="15" hidden="false" customHeight="false" outlineLevel="0" collapsed="false">
      <c r="A24" s="33" t="s">
        <v>51</v>
      </c>
      <c r="B24" s="34" t="n">
        <f aca="false">B19+B22</f>
        <v>20289</v>
      </c>
      <c r="C24" s="35" t="n">
        <f aca="false">C19+C22</f>
        <v>18251.5</v>
      </c>
      <c r="D24" s="34" t="n">
        <f aca="false">D19+D22</f>
        <v>28863.75</v>
      </c>
      <c r="E24" s="35" t="n">
        <f aca="false">E19+E22</f>
        <v>34000</v>
      </c>
      <c r="F24" s="34" t="n">
        <f aca="false">F19+F22</f>
        <v>25549</v>
      </c>
      <c r="G24" s="35" t="n">
        <f aca="false">G19+G22</f>
        <v>14461.75</v>
      </c>
      <c r="H24" s="34" t="n">
        <f aca="false">H19+H22</f>
        <v>12105</v>
      </c>
      <c r="I24" s="35" t="n">
        <f aca="false">I19+I22</f>
        <v>13808.75</v>
      </c>
      <c r="J24" s="34" t="n">
        <f aca="false">J19+J22</f>
        <v>10500</v>
      </c>
      <c r="K24" s="35" t="n">
        <f aca="false">K19+K22</f>
        <v>31386</v>
      </c>
      <c r="L24" s="34" t="n">
        <f aca="false">L19+L22</f>
        <v>28863.75</v>
      </c>
      <c r="M24" s="35" t="n">
        <f aca="false">M19+M22</f>
        <v>21086</v>
      </c>
      <c r="N24" s="46" t="n">
        <f aca="false">SUM(B24:M24)</f>
        <v>259164.5</v>
      </c>
    </row>
    <row r="26" customFormat="false" ht="15" hidden="false" customHeight="false" outlineLevel="0" collapsed="false">
      <c r="A26" s="47" t="s">
        <v>52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</row>
    <row r="27" customFormat="false" ht="15" hidden="false" customHeight="false" outlineLevel="0" collapsed="false">
      <c r="A27" s="32" t="s">
        <v>53</v>
      </c>
      <c r="B27" s="23" t="n">
        <f aca="false">B21-B12</f>
        <v>-5050.92</v>
      </c>
      <c r="C27" s="24" t="n">
        <f aca="false">C21-C12</f>
        <v>-4515.42</v>
      </c>
      <c r="D27" s="23" t="n">
        <f aca="false">D21-D12</f>
        <v>-7276.85000000001</v>
      </c>
      <c r="E27" s="24" t="n">
        <f aca="false">E21-E12</f>
        <v>-8645</v>
      </c>
      <c r="F27" s="23" t="n">
        <f aca="false">F21-F12</f>
        <v>-6418.72</v>
      </c>
      <c r="G27" s="24" t="n">
        <f aca="false">G21-G12</f>
        <v>-3524.29</v>
      </c>
      <c r="H27" s="23" t="n">
        <f aca="false">H21-H12</f>
        <v>-2934.4</v>
      </c>
      <c r="I27" s="24" t="n">
        <f aca="false">I21-I12</f>
        <v>-3376.45</v>
      </c>
      <c r="J27" s="23" t="n">
        <f aca="false">J21-J12</f>
        <v>-2520</v>
      </c>
      <c r="K27" s="24" t="n">
        <f aca="false">K21-K12</f>
        <v>-7948.08</v>
      </c>
      <c r="L27" s="23" t="n">
        <f aca="false">L21-L12</f>
        <v>-7276.85000000001</v>
      </c>
      <c r="M27" s="24" t="n">
        <f aca="false">M21-M12</f>
        <v>-5239.08</v>
      </c>
      <c r="N27" s="25" t="n">
        <f aca="false">SUM(B27:M27)</f>
        <v>-64726.06</v>
      </c>
    </row>
    <row r="28" customFormat="false" ht="15" hidden="false" customHeight="false" outlineLevel="0" collapsed="false">
      <c r="A28" s="32" t="s">
        <v>54</v>
      </c>
      <c r="B28" s="23" t="n">
        <f aca="false">B23-B14</f>
        <v>-1949.08</v>
      </c>
      <c r="C28" s="24" t="n">
        <f aca="false">C23-C14</f>
        <v>-2484.58</v>
      </c>
      <c r="D28" s="23" t="n">
        <f aca="false">D23-D14</f>
        <v>276.850000000002</v>
      </c>
      <c r="E28" s="24" t="n">
        <f aca="false">E23-E14</f>
        <v>1645</v>
      </c>
      <c r="F28" s="23" t="n">
        <f aca="false">F23-F14</f>
        <v>-581.279999999999</v>
      </c>
      <c r="G28" s="24" t="n">
        <f aca="false">G23-G14</f>
        <v>-3475.71</v>
      </c>
      <c r="H28" s="23" t="n">
        <f aca="false">H23-H14</f>
        <v>-4065.6</v>
      </c>
      <c r="I28" s="24" t="n">
        <f aca="false">I23-I14</f>
        <v>-3623.55</v>
      </c>
      <c r="J28" s="23" t="n">
        <f aca="false">J23-J14</f>
        <v>-4480</v>
      </c>
      <c r="K28" s="24" t="n">
        <f aca="false">K23-K14</f>
        <v>948.080000000002</v>
      </c>
      <c r="L28" s="23" t="n">
        <f aca="false">L23-L14</f>
        <v>276.850000000002</v>
      </c>
      <c r="M28" s="24" t="n">
        <f aca="false">M23-M14</f>
        <v>-1760.92</v>
      </c>
      <c r="N28" s="48" t="n">
        <f aca="false">SUM(B28:M28)</f>
        <v>-19273.94</v>
      </c>
    </row>
  </sheetData>
  <mergeCells count="7">
    <mergeCell ref="A1:N1"/>
    <mergeCell ref="A2:N2"/>
    <mergeCell ref="A8:N8"/>
    <mergeCell ref="A9:N9"/>
    <mergeCell ref="A16:N16"/>
    <mergeCell ref="A17:N17"/>
    <mergeCell ref="A26: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74C3C"/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22"/>
  </cols>
  <sheetData>
    <row r="1" customFormat="false" ht="17.35" hidden="false" customHeight="false" outlineLevel="0" collapsed="false">
      <c r="A1" s="1" t="s">
        <v>58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49" t="s">
        <v>21</v>
      </c>
      <c r="B3" s="49" t="s">
        <v>59</v>
      </c>
      <c r="C3" s="49" t="s">
        <v>60</v>
      </c>
      <c r="D3" s="49" t="s">
        <v>61</v>
      </c>
      <c r="E3" s="49" t="s">
        <v>62</v>
      </c>
      <c r="F3" s="49" t="s">
        <v>63</v>
      </c>
    </row>
    <row r="4" customFormat="false" ht="15" hidden="false" customHeight="false" outlineLevel="0" collapsed="false">
      <c r="A4" s="7" t="s">
        <v>64</v>
      </c>
      <c r="B4" s="16" t="n">
        <f aca="false">'Villa 1 - 2ch'!N10</f>
        <v>282378</v>
      </c>
      <c r="C4" s="16" t="n">
        <f aca="false">'Villa 1 - 2ch'!N14</f>
        <v>78828.04</v>
      </c>
      <c r="D4" s="16" t="n">
        <f aca="false">'Villa 1 - 2ch'!N23</f>
        <v>14594.5</v>
      </c>
      <c r="E4" s="16" t="n">
        <f aca="false">'Villa 1 - 2ch'!N12</f>
        <v>231549.96</v>
      </c>
      <c r="F4" s="16" t="n">
        <f aca="false">'Villa 1 - 2ch'!N21</f>
        <v>211783.5</v>
      </c>
    </row>
    <row r="5" customFormat="false" ht="15" hidden="false" customHeight="false" outlineLevel="0" collapsed="false">
      <c r="A5" s="11" t="s">
        <v>65</v>
      </c>
      <c r="B5" s="18" t="n">
        <f aca="false">'Villa 2 - 3ch'!N10</f>
        <v>423558</v>
      </c>
      <c r="C5" s="18" t="n">
        <f aca="false">'Villa 2 - 3ch'!N14</f>
        <v>104240.44</v>
      </c>
      <c r="D5" s="18" t="n">
        <f aca="false">'Villa 2 - 3ch'!N23</f>
        <v>49889.5</v>
      </c>
      <c r="E5" s="18" t="n">
        <f aca="false">'Villa 2 - 3ch'!N12</f>
        <v>347317.56</v>
      </c>
      <c r="F5" s="18" t="n">
        <f aca="false">'Villa 2 - 3ch'!N21</f>
        <v>317668.5</v>
      </c>
    </row>
    <row r="6" customFormat="false" ht="15" hidden="false" customHeight="false" outlineLevel="0" collapsed="false">
      <c r="A6" s="7" t="s">
        <v>66</v>
      </c>
      <c r="B6" s="16" t="n">
        <f aca="false">'Villa 3 - 4ch'!N10</f>
        <v>635322</v>
      </c>
      <c r="C6" s="16" t="n">
        <f aca="false">'Villa 3 - 4ch'!N14</f>
        <v>142357.96</v>
      </c>
      <c r="D6" s="16" t="n">
        <f aca="false">'Villa 3 - 4ch'!N23</f>
        <v>102830.5</v>
      </c>
      <c r="E6" s="16" t="n">
        <f aca="false">'Villa 3 - 4ch'!N12</f>
        <v>520964.04</v>
      </c>
      <c r="F6" s="16" t="n">
        <f aca="false">'Villa 3 - 4ch'!N21</f>
        <v>476491.5</v>
      </c>
    </row>
    <row r="7" customFormat="false" ht="15" hidden="false" customHeight="false" outlineLevel="0" collapsed="false">
      <c r="A7" s="11" t="s">
        <v>67</v>
      </c>
      <c r="B7" s="18" t="n">
        <f aca="false">'Villa 4 - 5ch'!N10</f>
        <v>924658</v>
      </c>
      <c r="C7" s="18" t="n">
        <f aca="false">'Villa 4 - 5ch'!N14</f>
        <v>194438.44</v>
      </c>
      <c r="D7" s="18" t="n">
        <f aca="false">'Villa 4 - 5ch'!N23</f>
        <v>175164.5</v>
      </c>
      <c r="E7" s="18" t="n">
        <f aca="false">'Villa 4 - 5ch'!N12</f>
        <v>758219.56</v>
      </c>
      <c r="F7" s="18" t="n">
        <f aca="false">'Villa 4 - 5ch'!N21</f>
        <v>693493.5</v>
      </c>
    </row>
    <row r="8" customFormat="false" ht="15" hidden="false" customHeight="false" outlineLevel="0" collapsed="false">
      <c r="A8" s="50" t="s">
        <v>68</v>
      </c>
      <c r="B8" s="51" t="n">
        <f aca="false">SUM(B4:B7)</f>
        <v>2265916</v>
      </c>
      <c r="C8" s="51" t="n">
        <f aca="false">SUM(C4:C7)</f>
        <v>519864.88</v>
      </c>
      <c r="D8" s="51" t="n">
        <f aca="false">SUM(D4:D7)</f>
        <v>342479</v>
      </c>
      <c r="E8" s="51" t="n">
        <f aca="false">SUM(E4:E7)</f>
        <v>1858051.12</v>
      </c>
      <c r="F8" s="51" t="n">
        <f aca="false">SUM(F4:F7)</f>
        <v>1699437</v>
      </c>
    </row>
    <row r="10" customFormat="false" ht="15" hidden="false" customHeight="false" outlineLevel="0" collapsed="false">
      <c r="A10" s="52" t="s">
        <v>69</v>
      </c>
      <c r="B10" s="52"/>
      <c r="C10" s="52"/>
      <c r="D10" s="52"/>
      <c r="E10" s="52"/>
      <c r="F10" s="52"/>
    </row>
    <row r="11" customFormat="false" ht="15" hidden="false" customHeight="false" outlineLevel="0" collapsed="false">
      <c r="A11" s="53" t="s">
        <v>70</v>
      </c>
      <c r="B11" s="53"/>
      <c r="C11" s="53"/>
      <c r="D11" s="53"/>
      <c r="E11" s="53"/>
      <c r="F11" s="53"/>
    </row>
  </sheetData>
  <mergeCells count="3">
    <mergeCell ref="A1:F1"/>
    <mergeCell ref="A10:F10"/>
    <mergeCell ref="A11:F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2026-04-06T20:32:50Z</dcterms:created>
  <dc:creator>openpyxl</dc:creator>
  <dc:description/>
  <dc:language>en-US</dc:language>
  <cp:lastModifiedBy/>
  <dcterms:modified xsi:type="dcterms:W3CDTF">2026-04-06T20:32:50Z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