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ypothèses" sheetId="1" state="visible" r:id="rId3"/>
    <sheet name="Résulta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<sst xmlns="http://schemas.openxmlformats.org/spreadsheetml/2006/main" count="107" uniqueCount="91">
  <si>
    <t xml:space="preserve">HAVN STAYS — MODÈLE DE RENTABILITÉ</t>
  </si>
  <si>
    <t xml:space="preserve">Ton CA = tes 20% de commission + cleaning fees. Les 80% du proprio NE SONT PAS dans ce modèle.</t>
  </si>
  <si>
    <t xml:space="preserve">PARAMÈTRES VILLA  (cellules jaunes = modifiables)</t>
  </si>
  <si>
    <t xml:space="preserve">Villa Moyenne</t>
  </si>
  <si>
    <t xml:space="preserve">Villa Premium</t>
  </si>
  <si>
    <t xml:space="preserve">Villa Luxe</t>
  </si>
  <si>
    <t xml:space="preserve">Tarif moyen par nuit (ADR)</t>
  </si>
  <si>
    <t xml:space="preserve">Taux d'occupation</t>
  </si>
  <si>
    <t xml:space="preserve">   → Nuits occupées / an</t>
  </si>
  <si>
    <t xml:space="preserve">Durée moyenne séjour (nuits)</t>
  </si>
  <si>
    <t xml:space="preserve">   → Nombre de réservations / an</t>
  </si>
  <si>
    <t xml:space="preserve">TES 2 SOURCES DE REVENU</t>
  </si>
  <si>
    <t xml:space="preserve">Commission sur location (TTC)</t>
  </si>
  <si>
    <t xml:space="preserve">Cleaning fee facturé au voyageur</t>
  </si>
  <si>
    <t xml:space="preserve">fourchette 100-130 €</t>
  </si>
  <si>
    <t xml:space="preserve">Taux de change EUR → MAD</t>
  </si>
  <si>
    <t xml:space="preserve">   → Cleaning fee en MAD</t>
  </si>
  <si>
    <t xml:space="preserve">Nb de ménages par réservation</t>
  </si>
  <si>
    <t xml:space="preserve">TVA sur services</t>
  </si>
  <si>
    <t xml:space="preserve">Taux CNSS employeur</t>
  </si>
  <si>
    <t xml:space="preserve">TES REVENUS PAR VILLA / AN</t>
  </si>
  <si>
    <t xml:space="preserve">Commission TTC / an</t>
  </si>
  <si>
    <t xml:space="preserve">Cleaning fees TTC / an</t>
  </si>
  <si>
    <t xml:space="preserve">TOTAL REVENUS TTC / VILLA / AN</t>
  </si>
  <si>
    <t xml:space="preserve">   (-) TVA</t>
  </si>
  <si>
    <t xml:space="preserve">TOTAL REVENUS HT / VILLA / AN</t>
  </si>
  <si>
    <t xml:space="preserve">   → par mois</t>
  </si>
  <si>
    <t xml:space="preserve">TES CHARGES DIRECTES PAR VILLA</t>
  </si>
  <si>
    <t xml:space="preserve">Poste</t>
  </si>
  <si>
    <t xml:space="preserve">Par mois</t>
  </si>
  <si>
    <t xml:space="preserve">Par an</t>
  </si>
  <si>
    <t xml:space="preserve">Note</t>
  </si>
  <si>
    <t xml:space="preserve">Femme de ménage (1 par villa)</t>
  </si>
  <si>
    <t xml:space="preserve">+ CNSS</t>
  </si>
  <si>
    <t xml:space="preserve">Matériel &amp; produits ménage</t>
  </si>
  <si>
    <t xml:space="preserve">Blanchisserie / laundry</t>
  </si>
  <si>
    <t xml:space="preserve">Maintenance courante</t>
  </si>
  <si>
    <t xml:space="preserve">Logiciels / villa (Hostaway, CRM...)</t>
  </si>
  <si>
    <t xml:space="preserve">par villa</t>
  </si>
  <si>
    <t xml:space="preserve">TOTAL CHARGES DIRECTES / VILLA / AN</t>
  </si>
  <si>
    <t xml:space="preserve">MARGE PAR VILLA  (revenu HT − charges directes)</t>
  </si>
  <si>
    <t xml:space="preserve">Revenu HT / an</t>
  </si>
  <si>
    <t xml:space="preserve">(-) Charges directes / an</t>
  </si>
  <si>
    <t xml:space="preserve">(=) MARGE PAR VILLA / AN</t>
  </si>
  <si>
    <t xml:space="preserve">TES CHARGES FIXES AGENCE  (indépendantes du nb de villas)</t>
  </si>
  <si>
    <t xml:space="preserve">Gérant (Hillal)</t>
  </si>
  <si>
    <t xml:space="preserve">salaire</t>
  </si>
  <si>
    <t xml:space="preserve">Coordinatrice / assistante</t>
  </si>
  <si>
    <t xml:space="preserve">Agent terrain</t>
  </si>
  <si>
    <t xml:space="preserve">Loyer bureau / coworking</t>
  </si>
  <si>
    <t xml:space="preserve">0 si chez toi</t>
  </si>
  <si>
    <t xml:space="preserve">Site web / hébergement / outils fixes</t>
  </si>
  <si>
    <t xml:space="preserve">hors Hostaway (par villa)</t>
  </si>
  <si>
    <t xml:space="preserve">Marketing &amp; pub</t>
  </si>
  <si>
    <t xml:space="preserve">Comptable / fiduciaire</t>
  </si>
  <si>
    <t xml:space="preserve">Véhicule / carburant</t>
  </si>
  <si>
    <t xml:space="preserve">Téléphone / internet</t>
  </si>
  <si>
    <t xml:space="preserve">Assurance RC pro</t>
  </si>
  <si>
    <t xml:space="preserve">Divers / imprévus</t>
  </si>
  <si>
    <t xml:space="preserve">TOTAL CHARGES FIXES AGENCE / AN</t>
  </si>
  <si>
    <t xml:space="preserve">TON RÉSULTAT NET</t>
  </si>
  <si>
    <t xml:space="preserve">CA = tes commissions (20%) + tes cleaning fees. Les 80% du propriétaire NE SONT PAS ici.</t>
  </si>
  <si>
    <t xml:space="preserve">TON PORTEFEUILLE  (modifiable)</t>
  </si>
  <si>
    <t xml:space="preserve">1 villa
moyenne</t>
  </si>
  <si>
    <t xml:space="preserve">1 villa
premium</t>
  </si>
  <si>
    <t xml:space="preserve">1 villa
luxe</t>
  </si>
  <si>
    <t xml:space="preserve">3 villas
mix</t>
  </si>
  <si>
    <t xml:space="preserve">5 villas
mix</t>
  </si>
  <si>
    <t xml:space="preserve">Nb villas moyennes (ADR 2 500 MAD)</t>
  </si>
  <si>
    <t xml:space="preserve">Nb villas premium (ADR 5 000 MAD)</t>
  </si>
  <si>
    <t xml:space="preserve">Nb villas luxe (ADR 8 000 MAD)</t>
  </si>
  <si>
    <t xml:space="preserve">Total villas</t>
  </si>
  <si>
    <t xml:space="preserve">① TON CA  (par an)</t>
  </si>
  <si>
    <t xml:space="preserve">Commissions TTC (20% du loyer)</t>
  </si>
  <si>
    <t xml:space="preserve">Cleaning fees TTC</t>
  </si>
  <si>
    <t xml:space="preserve">TOTAL REVENUS TTC</t>
  </si>
  <si>
    <t xml:space="preserve">TON CA HORS TAXE</t>
  </si>
  <si>
    <t xml:space="preserve">② TES CHARGES  (par an)</t>
  </si>
  <si>
    <t xml:space="preserve">Charges directes villas (ménage, linge, maint., logiciels × nb villas)</t>
  </si>
  <si>
    <t xml:space="preserve">Charges fixes agence (salaires, bureau, marketing...)</t>
  </si>
  <si>
    <t xml:space="preserve">TOTAL CHARGES</t>
  </si>
  <si>
    <t xml:space="preserve">③ RÉSULTAT = CA HT − CHARGES  (par an)</t>
  </si>
  <si>
    <t xml:space="preserve">Résultat avant impôt</t>
  </si>
  <si>
    <t xml:space="preserve">   (-) Impôt sur les Sociétés (IS)</t>
  </si>
  <si>
    <t xml:space="preserve">RÉSULTAT NET APRÈS IMPÔT</t>
  </si>
  <si>
    <t xml:space="preserve">RENTABLE ?</t>
  </si>
  <si>
    <t xml:space="preserve">④ INDICATEURS</t>
  </si>
  <si>
    <t xml:space="preserve">Marge nette (% du CA HT)</t>
  </si>
  <si>
    <t xml:space="preserve">Point mort en villas premium</t>
  </si>
  <si>
    <t xml:space="preserve">pour couvrir les charges fixes</t>
  </si>
  <si>
    <t xml:space="preserve">Point mort en villas luxe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</si>
</sst>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&quot; MAD&quot;"/>
    <numFmt numFmtId="166" formatCode="0.0%"/>
    <numFmt numFmtId="167" formatCode="#,##0"/>
    <numFmt numFmtId="168" formatCode="0.0"/>
    <numFmt numFmtId="169" formatCode="#,##0&quot; €&quot;"/>
    <numFmt numFmtId="170" formatCode="#,##0&quot; MAD/an&quot;"/>
    <numFmt numFmtId="171" formatCode="#,##0&quot; MAD/mois&quot;"/>
    <numFmt numFmtId="172" formatCode="0.0&quot; villas&quot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4332"/>
      <name val="Arial"/>
      <family val="0"/>
      <charset val="1"/>
    </font>
    <font>
      <sz val="12"/>
      <color rgb="FF2D6A4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CC0000"/>
      <name val="Arial"/>
      <family val="0"/>
      <charset val="1"/>
    </font>
    <font>
      <b val="true"/>
      <sz val="12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5F5F5"/>
      </patternFill>
    </fill>
    <fill>
      <patternFill patternType="solid">
        <fgColor rgb="FF1B4332"/>
        <bgColor rgb="FF333300"/>
      </patternFill>
    </fill>
    <fill>
      <patternFill patternType="solid">
        <fgColor rgb="FFD8F3DC"/>
        <bgColor rgb="FFCCFFFF"/>
      </patternFill>
    </fill>
    <fill>
      <patternFill patternType="solid">
        <fgColor rgb="FFFFF3CD"/>
        <bgColor rgb="FFF5F5F5"/>
      </patternFill>
    </fill>
    <fill>
      <patternFill patternType="solid">
        <fgColor rgb="FFF5F5F5"/>
        <bgColor rgb="FFFFFFFF"/>
      </patternFill>
    </fill>
    <fill>
      <patternFill patternType="solid">
        <fgColor rgb="FF2D6A4F"/>
        <bgColor rgb="FF66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CCCCCC"/>
      <rgbColor rgb="FF808080"/>
      <rgbColor rgb="FF9999FF"/>
      <rgbColor rgb="FF993366"/>
      <rgbColor rgb="FFFFF3CD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F3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0916C"/>
      <rgbColor rgb="FF003300"/>
      <rgbColor rgb="FF333300"/>
      <rgbColor rgb="FF993300"/>
      <rgbColor rgb="FF993366"/>
      <rgbColor rgb="FF333399"/>
      <rgbColor rgb="FF1B4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332"/>
    <pageSetUpPr fitToPage="true"/>
  </sheetPr>
  <dimension ref="B1:E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5" min="3" style="0" width="22"/>
  </cols>
  <sheetData>
    <row r="1" customFormat="false" ht="19.7" hidden="false" customHeight="false" outlineLevel="0" collapsed="false">
      <c r="B1" s="1" t="s">
        <v>0</v>
      </c>
    </row>
    <row r="2" customFormat="false" ht="24.75" hidden="false" customHeight="true" outlineLevel="0" collapsed="false">
      <c r="B2" s="2" t="s">
        <v>1</v>
      </c>
      <c r="C2" s="2"/>
      <c r="D2" s="2"/>
      <c r="E2" s="2"/>
    </row>
    <row r="4" customFormat="false" ht="15" hidden="false" customHeight="false" outlineLevel="0" collapsed="false">
      <c r="B4" s="3" t="s">
        <v>2</v>
      </c>
      <c r="C4" s="3"/>
      <c r="D4" s="3"/>
      <c r="E4" s="3"/>
    </row>
    <row r="5" customFormat="false" ht="15" hidden="false" customHeight="false" outlineLevel="0" collapsed="false">
      <c r="B5" s="4"/>
      <c r="C5" s="4" t="s">
        <v>3</v>
      </c>
      <c r="D5" s="4" t="s">
        <v>4</v>
      </c>
      <c r="E5" s="4" t="s">
        <v>5</v>
      </c>
    </row>
    <row r="6" customFormat="false" ht="15" hidden="false" customHeight="false" outlineLevel="0" collapsed="false">
      <c r="B6" s="5" t="s">
        <v>6</v>
      </c>
      <c r="C6" s="6" t="n">
        <v>2500</v>
      </c>
      <c r="D6" s="6" t="n">
        <v>5000</v>
      </c>
      <c r="E6" s="6" t="n">
        <v>8000</v>
      </c>
    </row>
    <row r="7" customFormat="false" ht="15" hidden="false" customHeight="false" outlineLevel="0" collapsed="false">
      <c r="B7" s="5" t="s">
        <v>7</v>
      </c>
      <c r="C7" s="7" t="n">
        <v>0.67</v>
      </c>
      <c r="D7" s="7" t="n">
        <v>0.67</v>
      </c>
      <c r="E7" s="7" t="n">
        <v>0.67</v>
      </c>
    </row>
    <row r="8" customFormat="false" ht="15" hidden="false" customHeight="false" outlineLevel="0" collapsed="false">
      <c r="B8" s="8" t="s">
        <v>8</v>
      </c>
      <c r="C8" s="9" t="n">
        <f aca="false">ROUND(365*C7,0)</f>
        <v>245</v>
      </c>
      <c r="D8" s="9" t="n">
        <f aca="false">ROUND(365*D7,0)</f>
        <v>245</v>
      </c>
      <c r="E8" s="9" t="n">
        <f aca="false">ROUND(365*E7,0)</f>
        <v>245</v>
      </c>
    </row>
    <row r="9" customFormat="false" ht="15" hidden="false" customHeight="false" outlineLevel="0" collapsed="false">
      <c r="B9" s="5" t="s">
        <v>9</v>
      </c>
      <c r="C9" s="10" t="n">
        <v>4.5</v>
      </c>
      <c r="D9" s="10" t="n">
        <v>5</v>
      </c>
      <c r="E9" s="10" t="n">
        <v>5.5</v>
      </c>
    </row>
    <row r="10" customFormat="false" ht="15" hidden="false" customHeight="false" outlineLevel="0" collapsed="false">
      <c r="B10" s="8" t="s">
        <v>10</v>
      </c>
      <c r="C10" s="9" t="n">
        <f aca="false">ROUND(C8/C9,0)</f>
        <v>54</v>
      </c>
      <c r="D10" s="9" t="n">
        <f aca="false">ROUND(D8/D9,0)</f>
        <v>49</v>
      </c>
      <c r="E10" s="9" t="n">
        <f aca="false">ROUND(E8/E9,0)</f>
        <v>45</v>
      </c>
    </row>
    <row r="12" customFormat="false" ht="15" hidden="false" customHeight="false" outlineLevel="0" collapsed="false">
      <c r="B12" s="3" t="s">
        <v>11</v>
      </c>
      <c r="C12" s="3"/>
      <c r="D12" s="3"/>
      <c r="E12" s="3"/>
    </row>
    <row r="13" customFormat="false" ht="15" hidden="false" customHeight="false" outlineLevel="0" collapsed="false">
      <c r="B13" s="5" t="s">
        <v>12</v>
      </c>
      <c r="C13" s="7" t="n">
        <v>0.2</v>
      </c>
    </row>
    <row r="14" customFormat="false" ht="15" hidden="false" customHeight="false" outlineLevel="0" collapsed="false">
      <c r="B14" s="5" t="s">
        <v>13</v>
      </c>
      <c r="C14" s="11" t="n">
        <v>115</v>
      </c>
      <c r="D14" s="12" t="s">
        <v>14</v>
      </c>
    </row>
    <row r="15" customFormat="false" ht="15" hidden="false" customHeight="false" outlineLevel="0" collapsed="false">
      <c r="B15" s="5" t="s">
        <v>15</v>
      </c>
      <c r="C15" s="10" t="n">
        <v>11</v>
      </c>
    </row>
    <row r="16" customFormat="false" ht="15" hidden="false" customHeight="false" outlineLevel="0" collapsed="false">
      <c r="B16" s="8" t="s">
        <v>16</v>
      </c>
      <c r="C16" s="13" t="n">
        <f aca="false">C14*C15</f>
        <v>1265</v>
      </c>
    </row>
    <row r="17" customFormat="false" ht="15" hidden="false" customHeight="false" outlineLevel="0" collapsed="false">
      <c r="B17" s="5" t="s">
        <v>17</v>
      </c>
      <c r="C17" s="14" t="n">
        <v>1</v>
      </c>
    </row>
    <row r="18" customFormat="false" ht="15" hidden="false" customHeight="false" outlineLevel="0" collapsed="false">
      <c r="B18" s="5" t="s">
        <v>18</v>
      </c>
      <c r="C18" s="7" t="n">
        <v>0.2</v>
      </c>
    </row>
    <row r="19" customFormat="false" ht="15" hidden="false" customHeight="false" outlineLevel="0" collapsed="false">
      <c r="B19" s="5" t="s">
        <v>19</v>
      </c>
      <c r="C19" s="7" t="n">
        <v>0.266</v>
      </c>
    </row>
    <row r="21" customFormat="false" ht="15" hidden="false" customHeight="false" outlineLevel="0" collapsed="false">
      <c r="B21" s="3" t="s">
        <v>20</v>
      </c>
      <c r="C21" s="3"/>
      <c r="D21" s="3"/>
      <c r="E21" s="3"/>
    </row>
    <row r="22" customFormat="false" ht="15" hidden="false" customHeight="false" outlineLevel="0" collapsed="false">
      <c r="B22" s="4"/>
      <c r="C22" s="4" t="s">
        <v>3</v>
      </c>
      <c r="D22" s="4" t="s">
        <v>4</v>
      </c>
      <c r="E22" s="4" t="s">
        <v>5</v>
      </c>
    </row>
    <row r="23" customFormat="false" ht="15" hidden="false" customHeight="false" outlineLevel="0" collapsed="false">
      <c r="B23" s="5" t="s">
        <v>21</v>
      </c>
      <c r="C23" s="15" t="n">
        <f aca="false">C6*C8*$C$13</f>
        <v>122500</v>
      </c>
      <c r="D23" s="15" t="n">
        <f aca="false">D6*D8*$C$13</f>
        <v>245000</v>
      </c>
      <c r="E23" s="15" t="n">
        <f aca="false">E6*E8*$C$13</f>
        <v>392000</v>
      </c>
    </row>
    <row r="24" customFormat="false" ht="15" hidden="false" customHeight="false" outlineLevel="0" collapsed="false">
      <c r="B24" s="5" t="s">
        <v>22</v>
      </c>
      <c r="C24" s="15" t="n">
        <f aca="false">$C$16*$C$17*C10</f>
        <v>68310</v>
      </c>
      <c r="D24" s="15" t="n">
        <f aca="false">$C$16*$C$17*D10</f>
        <v>61985</v>
      </c>
      <c r="E24" s="15" t="n">
        <f aca="false">$C$16*$C$17*E10</f>
        <v>56925</v>
      </c>
    </row>
    <row r="25" customFormat="false" ht="15" hidden="false" customHeight="false" outlineLevel="0" collapsed="false">
      <c r="B25" s="16" t="s">
        <v>23</v>
      </c>
      <c r="C25" s="17" t="n">
        <f aca="false">C23+C24</f>
        <v>190810</v>
      </c>
      <c r="D25" s="17" t="n">
        <f aca="false">D23+D24</f>
        <v>306985</v>
      </c>
      <c r="E25" s="17" t="n">
        <f aca="false">E23+E24</f>
        <v>448925</v>
      </c>
    </row>
    <row r="26" customFormat="false" ht="15" hidden="false" customHeight="false" outlineLevel="0" collapsed="false">
      <c r="B26" s="8" t="s">
        <v>24</v>
      </c>
      <c r="C26" s="18" t="n">
        <f aca="false">C25-C25/(1+$C$18)</f>
        <v>31801.6666666667</v>
      </c>
      <c r="D26" s="18" t="n">
        <f aca="false">D25-D25/(1+$C$18)</f>
        <v>51164.1666666667</v>
      </c>
      <c r="E26" s="18" t="n">
        <f aca="false">E25-E25/(1+$C$18)</f>
        <v>74820.8333333333</v>
      </c>
    </row>
    <row r="27" customFormat="false" ht="15" hidden="false" customHeight="false" outlineLevel="0" collapsed="false">
      <c r="B27" s="19" t="s">
        <v>25</v>
      </c>
      <c r="C27" s="20" t="n">
        <f aca="false">C25/(1+$C$18)</f>
        <v>159008.333333333</v>
      </c>
      <c r="D27" s="20" t="n">
        <f aca="false">D25/(1+$C$18)</f>
        <v>255820.833333333</v>
      </c>
      <c r="E27" s="20" t="n">
        <f aca="false">E25/(1+$C$18)</f>
        <v>374104.166666667</v>
      </c>
    </row>
    <row r="28" customFormat="false" ht="15" hidden="false" customHeight="false" outlineLevel="0" collapsed="false">
      <c r="B28" s="21" t="s">
        <v>26</v>
      </c>
      <c r="C28" s="22" t="n">
        <f aca="false">C27/12</f>
        <v>13250.6944444444</v>
      </c>
      <c r="D28" s="22" t="n">
        <f aca="false">D27/12</f>
        <v>21318.4027777778</v>
      </c>
      <c r="E28" s="22" t="n">
        <f aca="false">E27/12</f>
        <v>31175.3472222222</v>
      </c>
    </row>
    <row r="30" customFormat="false" ht="15" hidden="false" customHeight="false" outlineLevel="0" collapsed="false">
      <c r="B30" s="3" t="s">
        <v>27</v>
      </c>
      <c r="C30" s="3"/>
      <c r="D30" s="3"/>
      <c r="E30" s="3"/>
    </row>
    <row r="31" customFormat="false" ht="15" hidden="false" customHeight="false" outlineLevel="0" collapsed="false">
      <c r="B31" s="4" t="s">
        <v>28</v>
      </c>
      <c r="C31" s="4" t="s">
        <v>29</v>
      </c>
      <c r="D31" s="4" t="s">
        <v>30</v>
      </c>
      <c r="E31" s="4" t="s">
        <v>31</v>
      </c>
    </row>
    <row r="32" customFormat="false" ht="15" hidden="false" customHeight="false" outlineLevel="0" collapsed="false">
      <c r="B32" s="5" t="s">
        <v>32</v>
      </c>
      <c r="C32" s="23" t="n">
        <v>3500</v>
      </c>
      <c r="D32" s="24" t="n">
        <f aca="false">C32*12*(1+$C$19)</f>
        <v>53172</v>
      </c>
      <c r="E32" s="12" t="s">
        <v>33</v>
      </c>
    </row>
    <row r="33" customFormat="false" ht="15" hidden="false" customHeight="false" outlineLevel="0" collapsed="false">
      <c r="B33" s="5" t="s">
        <v>34</v>
      </c>
      <c r="C33" s="23" t="n">
        <v>1000</v>
      </c>
      <c r="D33" s="24" t="n">
        <f aca="false">C33*12</f>
        <v>12000</v>
      </c>
      <c r="E33" s="12"/>
    </row>
    <row r="34" customFormat="false" ht="15" hidden="false" customHeight="false" outlineLevel="0" collapsed="false">
      <c r="B34" s="5" t="s">
        <v>35</v>
      </c>
      <c r="C34" s="23" t="n">
        <v>1500</v>
      </c>
      <c r="D34" s="24" t="n">
        <f aca="false">C34*12</f>
        <v>18000</v>
      </c>
      <c r="E34" s="12"/>
    </row>
    <row r="35" customFormat="false" ht="15" hidden="false" customHeight="false" outlineLevel="0" collapsed="false">
      <c r="B35" s="5" t="s">
        <v>36</v>
      </c>
      <c r="C35" s="23" t="n">
        <v>1000</v>
      </c>
      <c r="D35" s="24" t="n">
        <f aca="false">C35*12</f>
        <v>12000</v>
      </c>
      <c r="E35" s="12"/>
    </row>
    <row r="36" customFormat="false" ht="15" hidden="false" customHeight="false" outlineLevel="0" collapsed="false">
      <c r="B36" s="5" t="s">
        <v>37</v>
      </c>
      <c r="C36" s="23" t="n">
        <v>200</v>
      </c>
      <c r="D36" s="24" t="n">
        <f aca="false">C36*12</f>
        <v>2400</v>
      </c>
      <c r="E36" s="12" t="s">
        <v>38</v>
      </c>
    </row>
    <row r="37" customFormat="false" ht="15" hidden="false" customHeight="false" outlineLevel="0" collapsed="false">
      <c r="B37" s="19" t="s">
        <v>39</v>
      </c>
      <c r="C37" s="25" t="n">
        <f aca="false">SUM(C32:C36)</f>
        <v>7200</v>
      </c>
      <c r="D37" s="20" t="n">
        <f aca="false">SUM(D32:D36)</f>
        <v>97572</v>
      </c>
      <c r="E37" s="26"/>
    </row>
    <row r="39" customFormat="false" ht="15" hidden="false" customHeight="false" outlineLevel="0" collapsed="false">
      <c r="B39" s="3" t="s">
        <v>40</v>
      </c>
      <c r="C39" s="3"/>
      <c r="D39" s="3"/>
      <c r="E39" s="3"/>
    </row>
    <row r="40" customFormat="false" ht="15" hidden="false" customHeight="false" outlineLevel="0" collapsed="false">
      <c r="B40" s="4"/>
      <c r="C40" s="4" t="s">
        <v>3</v>
      </c>
      <c r="D40" s="4" t="s">
        <v>4</v>
      </c>
      <c r="E40" s="4" t="s">
        <v>5</v>
      </c>
    </row>
    <row r="41" customFormat="false" ht="15" hidden="false" customHeight="false" outlineLevel="0" collapsed="false">
      <c r="B41" s="5" t="s">
        <v>41</v>
      </c>
      <c r="C41" s="15" t="n">
        <f aca="false">C27</f>
        <v>159008.333333333</v>
      </c>
      <c r="D41" s="15" t="n">
        <f aca="false">D27</f>
        <v>255820.833333333</v>
      </c>
      <c r="E41" s="15" t="n">
        <f aca="false">E27</f>
        <v>374104.166666667</v>
      </c>
    </row>
    <row r="42" customFormat="false" ht="15" hidden="false" customHeight="false" outlineLevel="0" collapsed="false">
      <c r="B42" s="5" t="s">
        <v>42</v>
      </c>
      <c r="C42" s="15" t="n">
        <f aca="false">$D$37</f>
        <v>97572</v>
      </c>
      <c r="D42" s="15" t="n">
        <f aca="false">$D$37</f>
        <v>97572</v>
      </c>
      <c r="E42" s="15" t="n">
        <f aca="false">$D$37</f>
        <v>97572</v>
      </c>
    </row>
    <row r="43" customFormat="false" ht="15" hidden="false" customHeight="false" outlineLevel="0" collapsed="false">
      <c r="B43" s="27" t="s">
        <v>43</v>
      </c>
      <c r="C43" s="28" t="n">
        <f aca="false">C41-C42</f>
        <v>61436.3333333333</v>
      </c>
      <c r="D43" s="28" t="n">
        <f aca="false">D41-D42</f>
        <v>158248.833333333</v>
      </c>
      <c r="E43" s="28" t="n">
        <f aca="false">E41-E42</f>
        <v>276532.166666667</v>
      </c>
    </row>
    <row r="44" customFormat="false" ht="15" hidden="false" customHeight="false" outlineLevel="0" collapsed="false">
      <c r="B44" s="21" t="s">
        <v>26</v>
      </c>
      <c r="C44" s="22" t="n">
        <f aca="false">C43/12</f>
        <v>5119.69444444445</v>
      </c>
      <c r="D44" s="22" t="n">
        <f aca="false">D43/12</f>
        <v>13187.4027777778</v>
      </c>
      <c r="E44" s="22" t="n">
        <f aca="false">E43/12</f>
        <v>23044.3472222222</v>
      </c>
    </row>
    <row r="46" customFormat="false" ht="15" hidden="false" customHeight="false" outlineLevel="0" collapsed="false">
      <c r="B46" s="3" t="s">
        <v>44</v>
      </c>
      <c r="C46" s="3"/>
      <c r="D46" s="3"/>
      <c r="E46" s="3"/>
    </row>
    <row r="47" customFormat="false" ht="15" hidden="false" customHeight="false" outlineLevel="0" collapsed="false">
      <c r="B47" s="4" t="s">
        <v>28</v>
      </c>
      <c r="C47" s="4" t="s">
        <v>29</v>
      </c>
      <c r="D47" s="4" t="s">
        <v>30</v>
      </c>
      <c r="E47" s="4" t="s">
        <v>31</v>
      </c>
    </row>
    <row r="48" customFormat="false" ht="15" hidden="false" customHeight="false" outlineLevel="0" collapsed="false">
      <c r="B48" s="5" t="s">
        <v>45</v>
      </c>
      <c r="C48" s="23" t="n">
        <v>15000</v>
      </c>
      <c r="D48" s="24" t="n">
        <f aca="false">C48*12*(1+$C$19)</f>
        <v>227880</v>
      </c>
      <c r="E48" s="12" t="s">
        <v>46</v>
      </c>
    </row>
    <row r="49" customFormat="false" ht="15" hidden="false" customHeight="false" outlineLevel="0" collapsed="false">
      <c r="B49" s="5" t="s">
        <v>47</v>
      </c>
      <c r="C49" s="23" t="n">
        <v>6000</v>
      </c>
      <c r="D49" s="24" t="n">
        <f aca="false">C49*12*(1+$C$19)</f>
        <v>91152</v>
      </c>
      <c r="E49" s="12"/>
    </row>
    <row r="50" customFormat="false" ht="15" hidden="false" customHeight="false" outlineLevel="0" collapsed="false">
      <c r="B50" s="5" t="s">
        <v>48</v>
      </c>
      <c r="C50" s="23" t="n">
        <v>5000</v>
      </c>
      <c r="D50" s="24" t="n">
        <f aca="false">C50*12*(1+$C$19)</f>
        <v>75960</v>
      </c>
      <c r="E50" s="12"/>
    </row>
    <row r="51" customFormat="false" ht="15" hidden="false" customHeight="false" outlineLevel="0" collapsed="false">
      <c r="B51" s="5" t="s">
        <v>49</v>
      </c>
      <c r="C51" s="23" t="n">
        <v>4000</v>
      </c>
      <c r="D51" s="24" t="n">
        <f aca="false">C51*12</f>
        <v>48000</v>
      </c>
      <c r="E51" s="12" t="s">
        <v>50</v>
      </c>
    </row>
    <row r="52" customFormat="false" ht="15" hidden="false" customHeight="false" outlineLevel="0" collapsed="false">
      <c r="B52" s="5" t="s">
        <v>51</v>
      </c>
      <c r="C52" s="23" t="n">
        <v>500</v>
      </c>
      <c r="D52" s="24" t="n">
        <f aca="false">C52*12</f>
        <v>6000</v>
      </c>
      <c r="E52" s="12" t="s">
        <v>52</v>
      </c>
    </row>
    <row r="53" customFormat="false" ht="15" hidden="false" customHeight="false" outlineLevel="0" collapsed="false">
      <c r="B53" s="5" t="s">
        <v>53</v>
      </c>
      <c r="C53" s="23" t="n">
        <v>3000</v>
      </c>
      <c r="D53" s="24" t="n">
        <f aca="false">C53*12</f>
        <v>36000</v>
      </c>
      <c r="E53" s="12"/>
    </row>
    <row r="54" customFormat="false" ht="15" hidden="false" customHeight="false" outlineLevel="0" collapsed="false">
      <c r="B54" s="5" t="s">
        <v>54</v>
      </c>
      <c r="C54" s="23" t="n">
        <v>2000</v>
      </c>
      <c r="D54" s="24" t="n">
        <f aca="false">C54*12</f>
        <v>24000</v>
      </c>
      <c r="E54" s="12"/>
    </row>
    <row r="55" customFormat="false" ht="15" hidden="false" customHeight="false" outlineLevel="0" collapsed="false">
      <c r="B55" s="5" t="s">
        <v>55</v>
      </c>
      <c r="C55" s="23" t="n">
        <v>3000</v>
      </c>
      <c r="D55" s="24" t="n">
        <f aca="false">C55*12</f>
        <v>36000</v>
      </c>
      <c r="E55" s="12"/>
    </row>
    <row r="56" customFormat="false" ht="15" hidden="false" customHeight="false" outlineLevel="0" collapsed="false">
      <c r="B56" s="5" t="s">
        <v>56</v>
      </c>
      <c r="C56" s="23" t="n">
        <v>800</v>
      </c>
      <c r="D56" s="24" t="n">
        <f aca="false">C56*12</f>
        <v>9600</v>
      </c>
      <c r="E56" s="12"/>
    </row>
    <row r="57" customFormat="false" ht="15" hidden="false" customHeight="false" outlineLevel="0" collapsed="false">
      <c r="B57" s="5" t="s">
        <v>57</v>
      </c>
      <c r="C57" s="23" t="n">
        <v>500</v>
      </c>
      <c r="D57" s="24" t="n">
        <f aca="false">C57*12</f>
        <v>6000</v>
      </c>
      <c r="E57" s="12"/>
    </row>
    <row r="58" customFormat="false" ht="15" hidden="false" customHeight="false" outlineLevel="0" collapsed="false">
      <c r="B58" s="5" t="s">
        <v>58</v>
      </c>
      <c r="C58" s="23" t="n">
        <v>1500</v>
      </c>
      <c r="D58" s="24" t="n">
        <f aca="false">C58*12</f>
        <v>18000</v>
      </c>
      <c r="E58" s="12"/>
    </row>
    <row r="59" customFormat="false" ht="15" hidden="false" customHeight="false" outlineLevel="0" collapsed="false">
      <c r="B59" s="19" t="s">
        <v>59</v>
      </c>
      <c r="C59" s="25" t="n">
        <f aca="false">SUM(C48:C58)</f>
        <v>41300</v>
      </c>
      <c r="D59" s="20" t="n">
        <f aca="false">SUM(D48:D58)</f>
        <v>578592</v>
      </c>
      <c r="E59" s="26"/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916C"/>
    <pageSetUpPr fitToPage="true"/>
  </sheetPr>
  <dimension ref="B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5"/>
    <col collapsed="false" customWidth="true" hidden="false" outlineLevel="0" max="7" min="3" style="0" width="22"/>
  </cols>
  <sheetData>
    <row r="1" customFormat="false" ht="19.7" hidden="false" customHeight="false" outlineLevel="0" collapsed="false">
      <c r="B1" s="1" t="s">
        <v>60</v>
      </c>
    </row>
    <row r="2" customFormat="false" ht="30" hidden="false" customHeight="true" outlineLevel="0" collapsed="false">
      <c r="B2" s="29" t="s">
        <v>61</v>
      </c>
      <c r="C2" s="29"/>
      <c r="D2" s="29"/>
      <c r="E2" s="29"/>
      <c r="F2" s="29"/>
      <c r="G2" s="29"/>
    </row>
    <row r="4" customFormat="false" ht="15" hidden="false" customHeight="false" outlineLevel="0" collapsed="false">
      <c r="B4" s="3" t="s">
        <v>62</v>
      </c>
      <c r="C4" s="3"/>
      <c r="D4" s="3"/>
      <c r="E4" s="3"/>
      <c r="F4" s="3"/>
      <c r="G4" s="3"/>
    </row>
    <row r="5" customFormat="false" ht="30" hidden="false" customHeight="true" outlineLevel="0" collapsed="false">
      <c r="B5" s="4"/>
      <c r="C5" s="30" t="s">
        <v>63</v>
      </c>
      <c r="D5" s="30" t="s">
        <v>64</v>
      </c>
      <c r="E5" s="30" t="s">
        <v>65</v>
      </c>
      <c r="F5" s="30" t="s">
        <v>66</v>
      </c>
      <c r="G5" s="30" t="s">
        <v>67</v>
      </c>
    </row>
    <row r="6" customFormat="false" ht="15" hidden="false" customHeight="false" outlineLevel="0" collapsed="false">
      <c r="B6" s="5" t="s">
        <v>68</v>
      </c>
      <c r="C6" s="14" t="n">
        <v>1</v>
      </c>
      <c r="D6" s="14" t="n">
        <v>0</v>
      </c>
      <c r="E6" s="14" t="n">
        <v>0</v>
      </c>
      <c r="F6" s="14" t="n">
        <v>1</v>
      </c>
      <c r="G6" s="14" t="n">
        <v>2</v>
      </c>
    </row>
    <row r="7" customFormat="false" ht="15" hidden="false" customHeight="false" outlineLevel="0" collapsed="false">
      <c r="B7" s="5" t="s">
        <v>69</v>
      </c>
      <c r="C7" s="14" t="n">
        <v>0</v>
      </c>
      <c r="D7" s="14" t="n">
        <v>1</v>
      </c>
      <c r="E7" s="14" t="n">
        <v>0</v>
      </c>
      <c r="F7" s="14" t="n">
        <v>1</v>
      </c>
      <c r="G7" s="14" t="n">
        <v>2</v>
      </c>
    </row>
    <row r="8" customFormat="false" ht="15" hidden="false" customHeight="false" outlineLevel="0" collapsed="false">
      <c r="B8" s="5" t="s">
        <v>70</v>
      </c>
      <c r="C8" s="14" t="n">
        <v>0</v>
      </c>
      <c r="D8" s="14" t="n">
        <v>0</v>
      </c>
      <c r="E8" s="14" t="n">
        <v>1</v>
      </c>
      <c r="F8" s="14" t="n">
        <v>1</v>
      </c>
      <c r="G8" s="14" t="n">
        <v>1</v>
      </c>
    </row>
    <row r="9" customFormat="false" ht="15" hidden="false" customHeight="false" outlineLevel="0" collapsed="false">
      <c r="B9" s="16" t="s">
        <v>71</v>
      </c>
      <c r="C9" s="31" t="n">
        <f aca="false">C6+C7+C8</f>
        <v>1</v>
      </c>
      <c r="D9" s="31" t="n">
        <f aca="false">D6+D7+D8</f>
        <v>1</v>
      </c>
      <c r="E9" s="31" t="n">
        <f aca="false">E6+E7+E8</f>
        <v>1</v>
      </c>
      <c r="F9" s="31" t="n">
        <f aca="false">F6+F7+F8</f>
        <v>3</v>
      </c>
      <c r="G9" s="31" t="n">
        <f aca="false">G6+G7+G8</f>
        <v>5</v>
      </c>
    </row>
    <row r="11" customFormat="false" ht="15" hidden="false" customHeight="false" outlineLevel="0" collapsed="false">
      <c r="B11" s="3" t="s">
        <v>72</v>
      </c>
      <c r="C11" s="3"/>
      <c r="D11" s="3"/>
      <c r="E11" s="3"/>
      <c r="F11" s="3"/>
      <c r="G11" s="3"/>
    </row>
    <row r="12" customFormat="false" ht="15" hidden="false" customHeight="false" outlineLevel="0" collapsed="false">
      <c r="B12" s="5" t="s">
        <v>73</v>
      </c>
      <c r="C12" s="15" t="n">
        <f aca="false">C6*Hypothèses!C23+C7*Hypothèses!D23+C8*Hypothèses!E23</f>
        <v>122500</v>
      </c>
      <c r="D12" s="15" t="n">
        <f aca="false">D6*Hypothèses!C23+D7*Hypothèses!D23+D8*Hypothèses!E23</f>
        <v>245000</v>
      </c>
      <c r="E12" s="15" t="n">
        <f aca="false">E6*Hypothèses!C23+E7*Hypothèses!D23+E8*Hypothèses!E23</f>
        <v>392000</v>
      </c>
      <c r="F12" s="15" t="n">
        <f aca="false">F6*Hypothèses!C23+F7*Hypothèses!D23+F8*Hypothèses!E23</f>
        <v>759500</v>
      </c>
      <c r="G12" s="15" t="n">
        <f aca="false">G6*Hypothèses!C23+G7*Hypothèses!D23+G8*Hypothèses!E23</f>
        <v>1127000</v>
      </c>
    </row>
    <row r="13" customFormat="false" ht="15" hidden="false" customHeight="false" outlineLevel="0" collapsed="false">
      <c r="B13" s="5" t="s">
        <v>74</v>
      </c>
      <c r="C13" s="15" t="n">
        <f aca="false">C6*Hypothèses!C24+C7*Hypothèses!D24+C8*Hypothèses!E24</f>
        <v>68310</v>
      </c>
      <c r="D13" s="15" t="n">
        <f aca="false">D6*Hypothèses!C24+D7*Hypothèses!D24+D8*Hypothèses!E24</f>
        <v>61985</v>
      </c>
      <c r="E13" s="15" t="n">
        <f aca="false">E6*Hypothèses!C24+E7*Hypothèses!D24+E8*Hypothèses!E24</f>
        <v>56925</v>
      </c>
      <c r="F13" s="15" t="n">
        <f aca="false">F6*Hypothèses!C24+F7*Hypothèses!D24+F8*Hypothèses!E24</f>
        <v>187220</v>
      </c>
      <c r="G13" s="15" t="n">
        <f aca="false">G6*Hypothèses!C24+G7*Hypothèses!D24+G8*Hypothèses!E24</f>
        <v>317515</v>
      </c>
    </row>
    <row r="14" customFormat="false" ht="15" hidden="false" customHeight="false" outlineLevel="0" collapsed="false">
      <c r="B14" s="16" t="s">
        <v>75</v>
      </c>
      <c r="C14" s="17" t="n">
        <f aca="false">C12+C13</f>
        <v>190810</v>
      </c>
      <c r="D14" s="17" t="n">
        <f aca="false">D12+D13</f>
        <v>306985</v>
      </c>
      <c r="E14" s="17" t="n">
        <f aca="false">E12+E13</f>
        <v>448925</v>
      </c>
      <c r="F14" s="17" t="n">
        <f aca="false">F12+F13</f>
        <v>946720</v>
      </c>
      <c r="G14" s="17" t="n">
        <f aca="false">G12+G13</f>
        <v>1444515</v>
      </c>
    </row>
    <row r="15" customFormat="false" ht="15" hidden="false" customHeight="false" outlineLevel="0" collapsed="false">
      <c r="B15" s="8" t="s">
        <v>24</v>
      </c>
      <c r="C15" s="18" t="n">
        <f aca="false">C14-C14/(1+Hypothèses!$C$18)</f>
        <v>31801.6666666667</v>
      </c>
      <c r="D15" s="18" t="n">
        <f aca="false">D14-D14/(1+Hypothèses!$C$18)</f>
        <v>51164.1666666667</v>
      </c>
      <c r="E15" s="18" t="n">
        <f aca="false">E14-E14/(1+Hypothèses!$C$18)</f>
        <v>74820.8333333333</v>
      </c>
      <c r="F15" s="18" t="n">
        <f aca="false">F14-F14/(1+Hypothèses!$C$18)</f>
        <v>157786.666666667</v>
      </c>
      <c r="G15" s="18" t="n">
        <f aca="false">G14-G14/(1+Hypothèses!$C$18)</f>
        <v>240752.5</v>
      </c>
    </row>
    <row r="16" customFormat="false" ht="15" hidden="false" customHeight="false" outlineLevel="0" collapsed="false">
      <c r="B16" s="32" t="s">
        <v>76</v>
      </c>
      <c r="C16" s="33" t="n">
        <f aca="false">C14-C15</f>
        <v>159008.333333333</v>
      </c>
      <c r="D16" s="33" t="n">
        <f aca="false">D14-D15</f>
        <v>255820.833333333</v>
      </c>
      <c r="E16" s="33" t="n">
        <f aca="false">E14-E15</f>
        <v>374104.166666667</v>
      </c>
      <c r="F16" s="33" t="n">
        <f aca="false">F14-F15</f>
        <v>788933.333333333</v>
      </c>
      <c r="G16" s="33" t="n">
        <f aca="false">G14-G15</f>
        <v>1203762.5</v>
      </c>
    </row>
    <row r="17" customFormat="false" ht="15" hidden="false" customHeight="false" outlineLevel="0" collapsed="false">
      <c r="B17" s="21" t="s">
        <v>26</v>
      </c>
      <c r="C17" s="22" t="n">
        <f aca="false">C16/12</f>
        <v>13250.6944444444</v>
      </c>
      <c r="D17" s="22" t="n">
        <f aca="false">D16/12</f>
        <v>21318.4027777778</v>
      </c>
      <c r="E17" s="22" t="n">
        <f aca="false">E16/12</f>
        <v>31175.3472222222</v>
      </c>
      <c r="F17" s="22" t="n">
        <f aca="false">F16/12</f>
        <v>65744.4444444445</v>
      </c>
      <c r="G17" s="22" t="n">
        <f aca="false">G16/12</f>
        <v>100313.541666667</v>
      </c>
    </row>
    <row r="19" customFormat="false" ht="15" hidden="false" customHeight="false" outlineLevel="0" collapsed="false">
      <c r="B19" s="3" t="s">
        <v>77</v>
      </c>
      <c r="C19" s="3"/>
      <c r="D19" s="3"/>
      <c r="E19" s="3"/>
      <c r="F19" s="3"/>
      <c r="G19" s="3"/>
    </row>
    <row r="20" customFormat="false" ht="15" hidden="false" customHeight="false" outlineLevel="0" collapsed="false">
      <c r="B20" s="5" t="s">
        <v>78</v>
      </c>
      <c r="C20" s="15" t="n">
        <f aca="false">C9*Hypothèses!$D$37</f>
        <v>97572</v>
      </c>
      <c r="D20" s="15" t="n">
        <f aca="false">D9*Hypothèses!$D$37</f>
        <v>97572</v>
      </c>
      <c r="E20" s="15" t="n">
        <f aca="false">E9*Hypothèses!$D$37</f>
        <v>97572</v>
      </c>
      <c r="F20" s="15" t="n">
        <f aca="false">F9*Hypothèses!$D$37</f>
        <v>292716</v>
      </c>
      <c r="G20" s="15" t="n">
        <f aca="false">G9*Hypothèses!$D$37</f>
        <v>487860</v>
      </c>
    </row>
    <row r="21" customFormat="false" ht="15" hidden="false" customHeight="false" outlineLevel="0" collapsed="false">
      <c r="B21" s="5" t="s">
        <v>79</v>
      </c>
      <c r="C21" s="15" t="n">
        <f aca="false">Hypothèses!$D$59</f>
        <v>578592</v>
      </c>
      <c r="D21" s="15" t="n">
        <f aca="false">Hypothèses!$D$59</f>
        <v>578592</v>
      </c>
      <c r="E21" s="15" t="n">
        <f aca="false">Hypothèses!$D$59</f>
        <v>578592</v>
      </c>
      <c r="F21" s="15" t="n">
        <f aca="false">Hypothèses!$D$59</f>
        <v>578592</v>
      </c>
      <c r="G21" s="15" t="n">
        <f aca="false">Hypothèses!$D$59</f>
        <v>578592</v>
      </c>
    </row>
    <row r="22" customFormat="false" ht="15" hidden="false" customHeight="false" outlineLevel="0" collapsed="false">
      <c r="B22" s="16" t="s">
        <v>80</v>
      </c>
      <c r="C22" s="17" t="n">
        <f aca="false">C20+C21</f>
        <v>676164</v>
      </c>
      <c r="D22" s="17" t="n">
        <f aca="false">D20+D21</f>
        <v>676164</v>
      </c>
      <c r="E22" s="17" t="n">
        <f aca="false">E20+E21</f>
        <v>676164</v>
      </c>
      <c r="F22" s="17" t="n">
        <f aca="false">F20+F21</f>
        <v>871308</v>
      </c>
      <c r="G22" s="17" t="n">
        <f aca="false">G20+G21</f>
        <v>1066452</v>
      </c>
    </row>
    <row r="23" customFormat="false" ht="15" hidden="false" customHeight="false" outlineLevel="0" collapsed="false">
      <c r="B23" s="21" t="s">
        <v>26</v>
      </c>
      <c r="C23" s="22" t="n">
        <f aca="false">C22/12</f>
        <v>56347</v>
      </c>
      <c r="D23" s="22" t="n">
        <f aca="false">D22/12</f>
        <v>56347</v>
      </c>
      <c r="E23" s="22" t="n">
        <f aca="false">E22/12</f>
        <v>56347</v>
      </c>
      <c r="F23" s="22" t="n">
        <f aca="false">F22/12</f>
        <v>72609</v>
      </c>
      <c r="G23" s="22" t="n">
        <f aca="false">G22/12</f>
        <v>88871</v>
      </c>
    </row>
    <row r="25" customFormat="false" ht="15" hidden="false" customHeight="false" outlineLevel="0" collapsed="false">
      <c r="B25" s="3" t="s">
        <v>81</v>
      </c>
      <c r="C25" s="3"/>
      <c r="D25" s="3"/>
      <c r="E25" s="3"/>
      <c r="F25" s="3"/>
      <c r="G25" s="3"/>
    </row>
    <row r="26" customFormat="false" ht="15" hidden="false" customHeight="false" outlineLevel="0" collapsed="false">
      <c r="B26" s="34" t="s">
        <v>82</v>
      </c>
      <c r="C26" s="35" t="n">
        <f aca="false">C16-C22</f>
        <v>-517155.666666667</v>
      </c>
      <c r="D26" s="35" t="n">
        <f aca="false">D16-D22</f>
        <v>-420343.166666667</v>
      </c>
      <c r="E26" s="35" t="n">
        <f aca="false">E16-E22</f>
        <v>-302059.833333333</v>
      </c>
      <c r="F26" s="35" t="n">
        <f aca="false">F16-F22</f>
        <v>-82374.6666666666</v>
      </c>
      <c r="G26" s="35" t="n">
        <f aca="false">G16-G22</f>
        <v>137310.5</v>
      </c>
    </row>
    <row r="27" customFormat="false" ht="15" hidden="false" customHeight="false" outlineLevel="0" collapsed="false">
      <c r="B27" s="5" t="s">
        <v>83</v>
      </c>
      <c r="C27" s="15" t="n">
        <f aca="false">IF(C26&lt;=0,0,IF(C26&lt;=300000,C26*0.1,IF(C26&lt;=1000000,30000+(C26-300000)*0.2,30000+140000+(C26-1000000)*0.31)))</f>
        <v>0</v>
      </c>
      <c r="D27" s="15" t="n">
        <f aca="false">IF(D26&lt;=0,0,IF(D26&lt;=300000,D26*0.1,IF(D26&lt;=1000000,30000+(D26-300000)*0.2,30000+140000+(D26-1000000)*0.31)))</f>
        <v>0</v>
      </c>
      <c r="E27" s="15" t="n">
        <f aca="false">IF(E26&lt;=0,0,IF(E26&lt;=300000,E26*0.1,IF(E26&lt;=1000000,30000+(E26-300000)*0.2,30000+140000+(E26-1000000)*0.31)))</f>
        <v>0</v>
      </c>
      <c r="F27" s="15" t="n">
        <f aca="false">IF(F26&lt;=0,0,IF(F26&lt;=300000,F26*0.1,IF(F26&lt;=1000000,30000+(F26-300000)*0.2,30000+140000+(F26-1000000)*0.31)))</f>
        <v>0</v>
      </c>
      <c r="G27" s="15" t="n">
        <f aca="false">IF(G26&lt;=0,0,IF(G26&lt;=300000,G26*0.1,IF(G26&lt;=1000000,30000+(G26-300000)*0.2,30000+140000+(G26-1000000)*0.31)))</f>
        <v>13731.05</v>
      </c>
    </row>
    <row r="29" customFormat="false" ht="15" hidden="false" customHeight="false" outlineLevel="0" collapsed="false">
      <c r="B29" s="27" t="s">
        <v>84</v>
      </c>
      <c r="C29" s="28" t="n">
        <f aca="false">C26-C27</f>
        <v>-517155.666666667</v>
      </c>
      <c r="D29" s="28" t="n">
        <f aca="false">D26-D27</f>
        <v>-420343.166666667</v>
      </c>
      <c r="E29" s="28" t="n">
        <f aca="false">E26-E27</f>
        <v>-302059.833333333</v>
      </c>
      <c r="F29" s="28" t="n">
        <f aca="false">F26-F27</f>
        <v>-82374.6666666666</v>
      </c>
      <c r="G29" s="28" t="n">
        <f aca="false">G26-G27</f>
        <v>123579.45</v>
      </c>
    </row>
    <row r="30" customFormat="false" ht="15" hidden="false" customHeight="false" outlineLevel="0" collapsed="false">
      <c r="B30" s="21" t="s">
        <v>26</v>
      </c>
      <c r="C30" s="22" t="n">
        <f aca="false">C29/12</f>
        <v>-43096.3055555556</v>
      </c>
      <c r="D30" s="22" t="n">
        <f aca="false">D29/12</f>
        <v>-35028.5972222222</v>
      </c>
      <c r="E30" s="22" t="n">
        <f aca="false">E29/12</f>
        <v>-25171.6527777778</v>
      </c>
      <c r="F30" s="22" t="n">
        <f aca="false">F29/12</f>
        <v>-6864.55555555555</v>
      </c>
      <c r="G30" s="22" t="n">
        <f aca="false">G29/12</f>
        <v>10298.2875</v>
      </c>
    </row>
    <row r="31" customFormat="false" ht="15" hidden="false" customHeight="false" outlineLevel="0" collapsed="false">
      <c r="B31" s="36" t="s">
        <v>85</v>
      </c>
      <c r="C31" s="37" t="str">
        <f aca="false">IF(C29&gt;0,"✅ OUI","❌ NON")</f>
        <v>❌ NON</v>
      </c>
      <c r="D31" s="37" t="str">
        <f aca="false">IF(D29&gt;0,"✅ OUI","❌ NON")</f>
        <v>❌ NON</v>
      </c>
      <c r="E31" s="37" t="str">
        <f aca="false">IF(E29&gt;0,"✅ OUI","❌ NON")</f>
        <v>❌ NON</v>
      </c>
      <c r="F31" s="37" t="str">
        <f aca="false">IF(F29&gt;0,"✅ OUI","❌ NON")</f>
        <v>❌ NON</v>
      </c>
      <c r="G31" s="37" t="str">
        <f aca="false">IF(G29&gt;0,"✅ OUI","❌ NON")</f>
        <v>✅ OUI</v>
      </c>
    </row>
    <row r="33" customFormat="false" ht="15" hidden="false" customHeight="false" outlineLevel="0" collapsed="false">
      <c r="B33" s="3" t="s">
        <v>86</v>
      </c>
      <c r="C33" s="3"/>
      <c r="D33" s="3"/>
      <c r="E33" s="3"/>
      <c r="F33" s="3"/>
      <c r="G33" s="3"/>
    </row>
    <row r="34" customFormat="false" ht="15" hidden="false" customHeight="false" outlineLevel="0" collapsed="false">
      <c r="B34" s="5" t="s">
        <v>87</v>
      </c>
      <c r="C34" s="38" t="n">
        <f aca="false">IF(C16&gt;0,C29/C16,0)</f>
        <v>-3.25238090246842</v>
      </c>
      <c r="D34" s="38" t="n">
        <f aca="false">IF(D16&gt;0,D29/D16,0)</f>
        <v>-1.64311546166751</v>
      </c>
      <c r="E34" s="38" t="n">
        <f aca="false">IF(E16&gt;0,E29/E16,0)</f>
        <v>-0.807421729687587</v>
      </c>
      <c r="F34" s="38" t="n">
        <f aca="false">IF(F16&gt;0,F29/F16,0)</f>
        <v>-0.104412709143147</v>
      </c>
      <c r="G34" s="38" t="n">
        <f aca="false">IF(G16&gt;0,G29/G16,0)</f>
        <v>0.102660990020872</v>
      </c>
    </row>
    <row r="36" customFormat="false" ht="15" hidden="false" customHeight="false" outlineLevel="0" collapsed="false">
      <c r="B36" s="39" t="s">
        <v>88</v>
      </c>
      <c r="C36" s="40" t="n">
        <f aca="false">IF(Hypothèses!D43&gt;0,Hypothèses!$D$59/Hypothèses!D43,0)</f>
        <v>3.65621652818925</v>
      </c>
      <c r="D36" s="12" t="s">
        <v>89</v>
      </c>
    </row>
    <row r="37" customFormat="false" ht="15" hidden="false" customHeight="false" outlineLevel="0" collapsed="false">
      <c r="B37" s="39" t="s">
        <v>90</v>
      </c>
      <c r="C37" s="40" t="n">
        <f aca="false">IF(Hypothèses!E43&gt;0,Hypothèses!$D$59/Hypothèses!E43,0)</f>
        <v>2.09231355243181</v>
      </c>
      <c r="D37" s="12" t="s">
        <v>89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2026-04-12T16:25:08Z</dcterms:created>
  <dc:creator>openpyxl</dc:creator>
  <dc:description/>
  <dc:language>en-US</dc:language>
  <cp:lastModifiedBy/>
  <dcterms:modified xsi:type="dcterms:W3CDTF">2026-04-12T16:25:08Z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