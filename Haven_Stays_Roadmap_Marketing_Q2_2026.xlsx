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ue d'ensemble" sheetId="1" state="visible" r:id="rId3"/>
    <sheet name="Plan d'actions" sheetId="2" state="visible" r:id="rId4"/>
    <sheet name="Budget" sheetId="3" state="visible" r:id="rId5"/>
    <sheet name="Calendrier contenu" sheetId="4" state="visible" r:id="rId6"/>
    <sheet name="Stratégie terrai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<sst xmlns="http://schemas.openxmlformats.org/spreadsheetml/2006/main" count="459" uniqueCount="279">
  <si>
    <t xml:space="preserve">HAVEN STAYS — ROADMAP MARKETING Q2 2026</t>
  </si>
  <si>
    <t xml:space="preserve">90 jours pour signer 5 villas premium à Marrakech</t>
  </si>
  <si>
    <t xml:space="preserve">CONTEXTE &amp; OBJECTIFS</t>
  </si>
  <si>
    <t xml:space="preserve">Objectif principal</t>
  </si>
  <si>
    <t xml:space="preserve">Signer 5 villas sous gestion d'ici fin juin 2026</t>
  </si>
  <si>
    <t xml:space="preserve">Budget mensuel</t>
  </si>
  <si>
    <t xml:space="preserve">&lt; 5 000 MAD/mois (~15 000 MAD sur 90 jours)</t>
  </si>
  <si>
    <t xml:space="preserve">Approche</t>
  </si>
  <si>
    <t xml:space="preserve">Mix digital (SEO, Social, Ads ciblés) + terrain (réseau, agents immo, events)</t>
  </si>
  <si>
    <t xml:space="preserve">Cible</t>
  </si>
  <si>
    <t xml:space="preserve">Propriétaires de villas à Marrakech (Palmeraie, Route Ourika, Amelkis, etc.)</t>
  </si>
  <si>
    <t xml:space="preserve">Positionnement</t>
  </si>
  <si>
    <t xml:space="preserve">Conciergerie premium, 20% all-inclusive, zéro tracas, revenus maximisés</t>
  </si>
  <si>
    <t xml:space="preserve">TABLEAU DE BORD — KPIs CIBLES À 90 JOURS</t>
  </si>
  <si>
    <t xml:space="preserve">KPI</t>
  </si>
  <si>
    <t xml:space="preserve">Détail</t>
  </si>
  <si>
    <t xml:space="preserve">🏠 Villas signées</t>
  </si>
  <si>
    <t xml:space="preserve">5</t>
  </si>
  <si>
    <t xml:space="preserve">Contrats de gestion signés</t>
  </si>
  <si>
    <t xml:space="preserve">📞 Leads qualifiés</t>
  </si>
  <si>
    <t xml:space="preserve">20-30</t>
  </si>
  <si>
    <t xml:space="preserve">Propriétaires ayant manifesté un intérêt</t>
  </si>
  <si>
    <t xml:space="preserve">🤝 RDV propriétaires</t>
  </si>
  <si>
    <t xml:space="preserve">15-20</t>
  </si>
  <si>
    <t xml:space="preserve">Rendez-vous de présentation effectués</t>
  </si>
  <si>
    <t xml:space="preserve">📱 Followers Instagram</t>
  </si>
  <si>
    <t xml:space="preserve">500+</t>
  </si>
  <si>
    <t xml:space="preserve">Communauté engagée de propriétaires/voyageurs</t>
  </si>
  <si>
    <t xml:space="preserve">🌐 Visites site web/mois</t>
  </si>
  <si>
    <t xml:space="preserve">300+</t>
  </si>
  <si>
    <t xml:space="preserve">Trafic qualifié sur le site Haven Stays</t>
  </si>
  <si>
    <t xml:space="preserve">💰 Budget total dépensé</t>
  </si>
  <si>
    <t xml:space="preserve">≤ 15 000 MAD</t>
  </si>
  <si>
    <t xml:space="preserve">Budget maîtrisé sur les 90 jours</t>
  </si>
  <si>
    <t xml:space="preserve">LES 3 PHASES DU PLAN</t>
  </si>
  <si>
    <t xml:space="preserve">Phase</t>
  </si>
  <si>
    <t xml:space="preserve">Période</t>
  </si>
  <si>
    <t xml:space="preserve">Focus principal</t>
  </si>
  <si>
    <t xml:space="preserve">Budget</t>
  </si>
  <si>
    <t xml:space="preserve">PHASE 1 — FONDATIONS</t>
  </si>
  <si>
    <t xml:space="preserve">Avril 2026 (S1-S4)</t>
  </si>
  <si>
    <t xml:space="preserve">Mise en place des outils, site web live, profils sociaux, premiers contenus, activation réseau immobilier</t>
  </si>
  <si>
    <t xml:space="preserve">3 000 MAD</t>
  </si>
  <si>
    <t xml:space="preserve">PHASE 2 — ACTIVATION</t>
  </si>
  <si>
    <t xml:space="preserve">Mai 2026 (S5-S8)</t>
  </si>
  <si>
    <t xml:space="preserve">Campagnes Meta Ads ciblées, production contenu régulière, networking terrain, premiers RDV propriétaires</t>
  </si>
  <si>
    <t xml:space="preserve">5 000 MAD</t>
  </si>
  <si>
    <t xml:space="preserve">PHASE 3 — CONVERSION</t>
  </si>
  <si>
    <t xml:space="preserve">Juin 2026 (S9-S13)</t>
  </si>
  <si>
    <t xml:space="preserve">Nurturing leads, closing, témoignages, scaling ce qui marche, objectif 5 signatures</t>
  </si>
  <si>
    <t xml:space="preserve">7 000 MAD</t>
  </si>
  <si>
    <t xml:space="preserve">PLAN D'ACTIONS DÉTAILLÉ — 90 JOURS</t>
  </si>
  <si>
    <t xml:space="preserve">Sem.</t>
  </si>
  <si>
    <t xml:space="preserve">Canal</t>
  </si>
  <si>
    <t xml:space="preserve">Action</t>
  </si>
  <si>
    <t xml:space="preserve">Livrable</t>
  </si>
  <si>
    <t xml:space="preserve">Responsable</t>
  </si>
  <si>
    <t xml:space="preserve">Statut</t>
  </si>
  <si>
    <t xml:space="preserve">PHASE 1 — FONDATIONS (Avril 2026)</t>
  </si>
  <si>
    <t xml:space="preserve">S1</t>
  </si>
  <si>
    <t xml:space="preserve">Digital</t>
  </si>
  <si>
    <t xml:space="preserve">Finaliser et mettre en ligne le site Haven Stays</t>
  </si>
  <si>
    <t xml:space="preserve">Site live sur domaine</t>
  </si>
  <si>
    <t xml:space="preserve">Hillal</t>
  </si>
  <si>
    <t xml:space="preserve">500 MAD</t>
  </si>
  <si>
    <t xml:space="preserve">À faire</t>
  </si>
  <si>
    <t xml:space="preserve">Créer compte Instagram @havenstays.marrakech</t>
  </si>
  <si>
    <t xml:space="preserve">Profil optimisé + 9 posts grille</t>
  </si>
  <si>
    <t xml:space="preserve">0 MAD</t>
  </si>
  <si>
    <t xml:space="preserve">Configurer Google My Business</t>
  </si>
  <si>
    <t xml:space="preserve">Fiche GMB complète + photos</t>
  </si>
  <si>
    <t xml:space="preserve">Configurer HubSpot CRM (version gratuite)</t>
  </si>
  <si>
    <t xml:space="preserve">Pipeline leads propriétaires actif</t>
  </si>
  <si>
    <t xml:space="preserve">S2</t>
  </si>
  <si>
    <t xml:space="preserve">Contenu</t>
  </si>
  <si>
    <t xml:space="preserve">Rédiger 4 articles blog SEO (guides propriétaires)</t>
  </si>
  <si>
    <t xml:space="preserve">Articles publiés sur le site</t>
  </si>
  <si>
    <t xml:space="preserve">Créer un PDF "Guide du propriétaire" (lead magnet)</t>
  </si>
  <si>
    <t xml:space="preserve">PDF téléchargeable, 8-10 pages</t>
  </si>
  <si>
    <t xml:space="preserve">200 MAD</t>
  </si>
  <si>
    <t xml:space="preserve">Terrain</t>
  </si>
  <si>
    <t xml:space="preserve">Lister 30 agents immobiliers Marrakech (villas)</t>
  </si>
  <si>
    <t xml:space="preserve">Fichier contacts qualifiés</t>
  </si>
  <si>
    <t xml:space="preserve">S3</t>
  </si>
  <si>
    <t xml:space="preserve">Contacter 15 agents immobiliers (appels + WhatsApp)</t>
  </si>
  <si>
    <t xml:space="preserve">15 premiers contacts initiés</t>
  </si>
  <si>
    <t xml:space="preserve">Shooting photo d'une villa gérée / partenaire</t>
  </si>
  <si>
    <t xml:space="preserve">Banque de 20+ photos pro</t>
  </si>
  <si>
    <t xml:space="preserve">1 500 MAD</t>
  </si>
  <si>
    <t xml:space="preserve">Publier 3x/semaine sur Instagram (Reels + carrousels)</t>
  </si>
  <si>
    <t xml:space="preserve">12 posts/mois minimum</t>
  </si>
  <si>
    <t xml:space="preserve">S4</t>
  </si>
  <si>
    <t xml:space="preserve">Participer à 1 event immobilier / networking</t>
  </si>
  <si>
    <t xml:space="preserve">5+ cartes de visite échangées</t>
  </si>
  <si>
    <t xml:space="preserve">Lancer campagne Meta Ads test (audience proprios)</t>
  </si>
  <si>
    <t xml:space="preserve">Campagne test 1 semaine</t>
  </si>
  <si>
    <t xml:space="preserve">300 MAD</t>
  </si>
  <si>
    <t xml:space="preserve">PHASE 2 — ACTIVATION (Mai 2026)</t>
  </si>
  <si>
    <t xml:space="preserve">S5</t>
  </si>
  <si>
    <t xml:space="preserve">Ads</t>
  </si>
  <si>
    <t xml:space="preserve">Optimiser Meta Ads sur base des résultats test</t>
  </si>
  <si>
    <t xml:space="preserve">Campagne optimisée, CPA cible</t>
  </si>
  <si>
    <t xml:space="preserve">Relancer agents immo + proposer commission apporteur</t>
  </si>
  <si>
    <t xml:space="preserve">Programme partenaires agents actif</t>
  </si>
  <si>
    <t xml:space="preserve">Publier étude de cas : "Combien rapporte votre villa"</t>
  </si>
  <si>
    <t xml:space="preserve">Article + post LinkedIn + Insta</t>
  </si>
  <si>
    <t xml:space="preserve">S6</t>
  </si>
  <si>
    <t xml:space="preserve">Organiser 1 déjeuner réseau (5-8 proprios/agents)</t>
  </si>
  <si>
    <t xml:space="preserve">Event privé, contacts qualifiés</t>
  </si>
  <si>
    <t xml:space="preserve">1 000 MAD</t>
  </si>
  <si>
    <t xml:space="preserve">Lancer séquence email nurturing (5 emails)</t>
  </si>
  <si>
    <t xml:space="preserve">Séquence automatisée HubSpot</t>
  </si>
  <si>
    <t xml:space="preserve">Vidéo témoignage propriétaire ou visite villa</t>
  </si>
  <si>
    <t xml:space="preserve">Reel Instagram + YouTube Short</t>
  </si>
  <si>
    <t xml:space="preserve">S7</t>
  </si>
  <si>
    <t xml:space="preserve">Campagne Google Ads (mots-clés gestion villa Marrakech)</t>
  </si>
  <si>
    <t xml:space="preserve">Campagne Search active</t>
  </si>
  <si>
    <t xml:space="preserve">5 RDV propriétaires (présentations personnalisées)</t>
  </si>
  <si>
    <t xml:space="preserve">5 propositions envoyées</t>
  </si>
  <si>
    <t xml:space="preserve">S8</t>
  </si>
  <si>
    <t xml:space="preserve">Article : "Les erreurs des propriétaires sur Airbnb"</t>
  </si>
  <si>
    <t xml:space="preserve">Blog + carrousel Instagram</t>
  </si>
  <si>
    <t xml:space="preserve">Optimiser landing page conversion (A/B test CTA)</t>
  </si>
  <si>
    <t xml:space="preserve">Landing page optimisée</t>
  </si>
  <si>
    <t xml:space="preserve">Contacter syndics / résidences de villas</t>
  </si>
  <si>
    <t xml:space="preserve">5+ contacts syndics initiés</t>
  </si>
  <si>
    <t xml:space="preserve">PHASE 3 — CONVERSION (Juin 2026)</t>
  </si>
  <si>
    <t xml:space="preserve">S9</t>
  </si>
  <si>
    <t xml:space="preserve">Closing</t>
  </si>
  <si>
    <t xml:space="preserve">Follow-up intensif des leads chauds</t>
  </si>
  <si>
    <t xml:space="preserve">Relances personnalisées</t>
  </si>
  <si>
    <t xml:space="preserve">Publier 1er cas client concret (avant/après revenus)</t>
  </si>
  <si>
    <t xml:space="preserve">Étude de cas complète</t>
  </si>
  <si>
    <t xml:space="preserve">S10</t>
  </si>
  <si>
    <t xml:space="preserve">Retargeting Meta Ads visiteurs site</t>
  </si>
  <si>
    <t xml:space="preserve">Campagne retargeting active</t>
  </si>
  <si>
    <t xml:space="preserve">2ème event networking + présentation Haven Stays</t>
  </si>
  <si>
    <t xml:space="preserve">Présentation 10-15 personnes</t>
  </si>
  <si>
    <t xml:space="preserve">Proposer offre de lancement (3 mois -5%)</t>
  </si>
  <si>
    <t xml:space="preserve">Offre limitée, urgence créée</t>
  </si>
  <si>
    <t xml:space="preserve">S11</t>
  </si>
  <si>
    <t xml:space="preserve">RDV closing avec leads qualifiés restants</t>
  </si>
  <si>
    <t xml:space="preserve">Objectif : 3-5 signatures</t>
  </si>
  <si>
    <t xml:space="preserve">LinkedIn : post "Nos premiers résultats" + social proof</t>
  </si>
  <si>
    <t xml:space="preserve">Post LinkedIn viral</t>
  </si>
  <si>
    <t xml:space="preserve">S12</t>
  </si>
  <si>
    <t xml:space="preserve">Vidéo : "Un jour avec Haven Stays" (behind the scenes)</t>
  </si>
  <si>
    <t xml:space="preserve">Reel long format</t>
  </si>
  <si>
    <t xml:space="preserve">Dernières relances + signatures contrats</t>
  </si>
  <si>
    <t xml:space="preserve">Contrats signés</t>
  </si>
  <si>
    <t xml:space="preserve">S13</t>
  </si>
  <si>
    <t xml:space="preserve">Bilan</t>
  </si>
  <si>
    <t xml:space="preserve">Bilan complet : KPIs, ROI, learnings, plan Q3</t>
  </si>
  <si>
    <t xml:space="preserve">Rapport de performance</t>
  </si>
  <si>
    <t xml:space="preserve">Préparer la roadmap Q3 basée sur les résultats</t>
  </si>
  <si>
    <t xml:space="preserve">Roadmap Q3 2026</t>
  </si>
  <si>
    <t xml:space="preserve">BUDGET MARKETING — 90 JOURS</t>
  </si>
  <si>
    <t xml:space="preserve">Poste de dépense</t>
  </si>
  <si>
    <t xml:space="preserve">Avril</t>
  </si>
  <si>
    <t xml:space="preserve">Mai</t>
  </si>
  <si>
    <t xml:space="preserve">Juin</t>
  </si>
  <si>
    <t xml:space="preserve">Total</t>
  </si>
  <si>
    <t xml:space="preserve">Meta Ads (Facebook + Instagram)</t>
  </si>
  <si>
    <t xml:space="preserve">Google Ads</t>
  </si>
  <si>
    <t xml:space="preserve">Shooting photo/vidéo</t>
  </si>
  <si>
    <t xml:space="preserve">Events &amp; networking</t>
  </si>
  <si>
    <t xml:space="preserve">Outils (domaine, email, design)</t>
  </si>
  <si>
    <t xml:space="preserve">Print (cartes de visite, brochure)</t>
  </si>
  <si>
    <t xml:space="preserve">Lead magnet &amp; PDF design</t>
  </si>
  <si>
    <t xml:space="preserve">Divers / imprévu</t>
  </si>
  <si>
    <t xml:space="preserve">TOTAL</t>
  </si>
  <si>
    <t xml:space="preserve">⚠ Budget cible : &lt; 5 000 MAD/mois — Total 90 jours ≤ 15 000 MAD</t>
  </si>
  <si>
    <t xml:space="preserve">RÉPARTITION PAR CANAL</t>
  </si>
  <si>
    <t xml:space="preserve">Budget estimé</t>
  </si>
  <si>
    <t xml:space="preserve">% du total</t>
  </si>
  <si>
    <t xml:space="preserve">Paid Ads (Meta + Google)</t>
  </si>
  <si>
    <t xml:space="preserve">~35%</t>
  </si>
  <si>
    <t xml:space="preserve">Production contenu (photo/vidéo/print)</t>
  </si>
  <si>
    <t xml:space="preserve">~25%</t>
  </si>
  <si>
    <t xml:space="preserve">~18%</t>
  </si>
  <si>
    <t xml:space="preserve">Outils &amp; infrastructure</t>
  </si>
  <si>
    <t xml:space="preserve">~4%</t>
  </si>
  <si>
    <t xml:space="preserve">Imprévu &amp; flexibilité</t>
  </si>
  <si>
    <t xml:space="preserve">~11%</t>
  </si>
  <si>
    <t xml:space="preserve">CALENDRIER ÉDITORIAL — INSTAGRAM &amp; BLOG</t>
  </si>
  <si>
    <t xml:space="preserve">Semaine</t>
  </si>
  <si>
    <t xml:space="preserve">Plateforme</t>
  </si>
  <si>
    <t xml:space="preserve">Sujet / Thème</t>
  </si>
  <si>
    <t xml:space="preserve">Format</t>
  </si>
  <si>
    <t xml:space="preserve">Objectif</t>
  </si>
  <si>
    <t xml:space="preserve">Hashtags clés</t>
  </si>
  <si>
    <t xml:space="preserve">Instagram</t>
  </si>
  <si>
    <t xml:space="preserve">Lancement : "Haven Stays arrive à Marrakech"</t>
  </si>
  <si>
    <t xml:space="preserve">Carrousel 5 slides</t>
  </si>
  <si>
    <t xml:space="preserve">Notoriété</t>
  </si>
  <si>
    <t xml:space="preserve">#marrakech #villa</t>
  </si>
  <si>
    <t xml:space="preserve">Before/After villa mise en valeur</t>
  </si>
  <si>
    <t xml:space="preserve">Reel 30s</t>
  </si>
  <si>
    <t xml:space="preserve">Engagement</t>
  </si>
  <si>
    <t xml:space="preserve">#villamarrakech #luxe</t>
  </si>
  <si>
    <t xml:space="preserve">Blog</t>
  </si>
  <si>
    <t xml:space="preserve">"Pourquoi confier votre villa à un gestionnaire pro"</t>
  </si>
  <si>
    <t xml:space="preserve">Article 800 mots</t>
  </si>
  <si>
    <t xml:space="preserve">SEO</t>
  </si>
  <si>
    <t xml:space="preserve">gestion villa marrakech</t>
  </si>
  <si>
    <t xml:space="preserve">Tips : "3 erreurs sur vos annonces Airbnb"</t>
  </si>
  <si>
    <t xml:space="preserve">Carrousel éducatif</t>
  </si>
  <si>
    <t xml:space="preserve">Autorité</t>
  </si>
  <si>
    <t xml:space="preserve">#airbnb #tips</t>
  </si>
  <si>
    <t xml:space="preserve">Visite d'une villa gérée (storytelling)</t>
  </si>
  <si>
    <t xml:space="preserve">Reel 45s</t>
  </si>
  <si>
    <t xml:space="preserve">#conciergerie</t>
  </si>
  <si>
    <t xml:space="preserve">"Combien peut rapporter votre villa à Marrakech"</t>
  </si>
  <si>
    <t xml:space="preserve">Article + simulateur</t>
  </si>
  <si>
    <t xml:space="preserve">SEO + Leads</t>
  </si>
  <si>
    <t xml:space="preserve">revenus villa marrakech</t>
  </si>
  <si>
    <t xml:space="preserve">Témoignage propriétaire (quote card)</t>
  </si>
  <si>
    <t xml:space="preserve">Image + texte</t>
  </si>
  <si>
    <t xml:space="preserve">Preuve sociale</t>
  </si>
  <si>
    <t xml:space="preserve">#propriétaire</t>
  </si>
  <si>
    <t xml:space="preserve">"Une journée type chez Haven Stays"</t>
  </si>
  <si>
    <t xml:space="preserve">Reel behind-the-scenes</t>
  </si>
  <si>
    <t xml:space="preserve">Connexion</t>
  </si>
  <si>
    <t xml:space="preserve">#behindthescenes</t>
  </si>
  <si>
    <t xml:space="preserve">"Les quartiers les plus rentables de Marrakech"</t>
  </si>
  <si>
    <t xml:space="preserve">Article data-driven</t>
  </si>
  <si>
    <t xml:space="preserve">investir marrakech</t>
  </si>
  <si>
    <t xml:space="preserve">Chiffres clés du marché locatif Marrakech</t>
  </si>
  <si>
    <t xml:space="preserve">Carrousel data</t>
  </si>
  <si>
    <t xml:space="preserve">#immobilier #data</t>
  </si>
  <si>
    <t xml:space="preserve">Transformation accueil voyageur premium</t>
  </si>
  <si>
    <t xml:space="preserve">Aspiration</t>
  </si>
  <si>
    <t xml:space="preserve">#hospitality</t>
  </si>
  <si>
    <t xml:space="preserve">"Guide fiscal : location courte durée au Maroc"</t>
  </si>
  <si>
    <t xml:space="preserve">Article expert</t>
  </si>
  <si>
    <t xml:space="preserve">SEO + Trust</t>
  </si>
  <si>
    <t xml:space="preserve">fiscalité location maroc</t>
  </si>
  <si>
    <t xml:space="preserve">S5-S8</t>
  </si>
  <si>
    <t xml:space="preserve">3 posts/semaine : mix éducatif, storytelling, data</t>
  </si>
  <si>
    <t xml:space="preserve">Alternance formats</t>
  </si>
  <si>
    <t xml:space="preserve">Croissance</t>
  </si>
  <si>
    <t xml:space="preserve">Mix</t>
  </si>
  <si>
    <t xml:space="preserve">2 articles/mois : SEO longue traîne propriétaires</t>
  </si>
  <si>
    <t xml:space="preserve">Articles 800-1200 mots</t>
  </si>
  <si>
    <t xml:space="preserve">Trafic organique</t>
  </si>
  <si>
    <t xml:space="preserve">Longue traîne</t>
  </si>
  <si>
    <t xml:space="preserve">S9-S13</t>
  </si>
  <si>
    <t xml:space="preserve">Focus preuve sociale : résultats, témoignages, cas</t>
  </si>
  <si>
    <t xml:space="preserve">Carrousels + Reels</t>
  </si>
  <si>
    <t xml:space="preserve">Conversion</t>
  </si>
  <si>
    <t xml:space="preserve">#résultats</t>
  </si>
  <si>
    <t xml:space="preserve">Études de cas clients + FAQ propriétaires</t>
  </si>
  <si>
    <t xml:space="preserve">Articles conversion</t>
  </si>
  <si>
    <t xml:space="preserve">Leads chauds</t>
  </si>
  <si>
    <t xml:space="preserve">études de cas</t>
  </si>
  <si>
    <t xml:space="preserve">STRATÉGIE D'ACQUISITION TERRAIN</t>
  </si>
  <si>
    <t xml:space="preserve">Canal terrain</t>
  </si>
  <si>
    <t xml:space="preserve">Actions concrètes</t>
  </si>
  <si>
    <t xml:space="preserve">Script / Pitch</t>
  </si>
  <si>
    <t xml:space="preserve">Objectif mensuel</t>
  </si>
  <si>
    <t xml:space="preserve">Agents immobiliers</t>
  </si>
  <si>
    <t xml:space="preserve">Identifier 30 agents spécialisés villas Marrakech. Les contacter via WhatsApp + visite agence. Proposer commission apporteur 5% du 1er mois.</t>
  </si>
  <si>
    <t xml:space="preserve">"Bonjour [Nom], je gère Haven Stays, conciergerie premium pour villas à Marrakech. Vos clients vendeurs ont parfois besoin de rentabiliser avant de vendre — on peut les aider avec un service clé en main."</t>
  </si>
  <si>
    <t xml:space="preserve">10 agents contactés/mois</t>
  </si>
  <si>
    <t xml:space="preserve">Syndics &amp; résidences</t>
  </si>
  <si>
    <t xml:space="preserve">Contacter les syndics des résidences de villas (Amelkis, Palmeraie Village, etc.). Proposer un partenariat de gestion.</t>
  </si>
  <si>
    <t xml:space="preserve">"Nous proposons une gestion locative premium pour les propriétaires de votre résidence, avec un suivi rigoureux qui valorise l'image de la copropriété."</t>
  </si>
  <si>
    <t xml:space="preserve">3 syndics contactés/mois</t>
  </si>
  <si>
    <t xml:space="preserve">Notaires &amp; avocats</t>
  </si>
  <si>
    <t xml:space="preserve">Identifier 10 notaires/avocats qui gèrent des transactions immobilières. Se positionner comme recommandation post-achat.</t>
  </si>
  <si>
    <t xml:space="preserve">"Vos clients investisseurs cherchent souvent à rentabiliser leur bien — Haven Stays est le partenaire idéal à recommander."</t>
  </si>
  <si>
    <t xml:space="preserve">5 contacts/mois</t>
  </si>
  <si>
    <t xml:space="preserve">Participer à 1-2 events/mois (CCI, clubs d'affaires, afterworks immo). Organiser 1 déjeuner privé de propriétaires.</t>
  </si>
  <si>
    <t xml:space="preserve">Pitch 30s : "Haven Stays, c'est la tranquillité d'esprit pour les propriétaires de villas à Marrakech. On gère tout, vous encaissez."</t>
  </si>
  <si>
    <t xml:space="preserve">2 events/mois</t>
  </si>
  <si>
    <t xml:space="preserve">Bouche-à-oreille</t>
  </si>
  <si>
    <t xml:space="preserve">Activer son réseau personnel. Demander des recommandations à chaque contact satisfait. Programme parrainage propriétaires.</t>
  </si>
  <si>
    <t xml:space="preserve">"Si vous connaissez un propriétaire de villa qui ne la rentabilise pas encore, Haven Stays peut transformer son bien en source de revenus."</t>
  </si>
  <si>
    <t xml:space="preserve">5 recommandations/mois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</si>
</sst>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&quot; MAD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F1923"/>
      <name val="Arial"/>
      <family val="0"/>
      <charset val="1"/>
    </font>
    <font>
      <sz val="12"/>
      <color rgb="FFC5A55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F1923"/>
      <name val="Arial"/>
      <family val="0"/>
      <charset val="1"/>
    </font>
    <font>
      <sz val="10"/>
      <color rgb="FF0F192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C5A55A"/>
      <name val="Arial"/>
      <family val="0"/>
      <charset val="1"/>
    </font>
    <font>
      <b val="true"/>
      <sz val="10"/>
      <color rgb="FFC62828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F1923"/>
        <bgColor rgb="FF162230"/>
      </patternFill>
    </fill>
    <fill>
      <patternFill patternType="solid">
        <fgColor rgb="FFF5F0EB"/>
        <bgColor rgb="FFF2F2F2"/>
      </patternFill>
    </fill>
    <fill>
      <patternFill patternType="solid">
        <fgColor rgb="FF162230"/>
        <bgColor rgb="FF0F1923"/>
      </patternFill>
    </fill>
    <fill>
      <patternFill patternType="solid">
        <fgColor rgb="FFFFF8E7"/>
        <bgColor rgb="FFF5F0EB"/>
      </patternFill>
    </fill>
    <fill>
      <patternFill patternType="solid">
        <fgColor rgb="FFFFFFFF"/>
        <bgColor rgb="FFFFF8E7"/>
      </patternFill>
    </fill>
    <fill>
      <patternFill patternType="solid">
        <fgColor rgb="FFC5A55A"/>
        <bgColor rgb="FFC0C0C0"/>
      </patternFill>
    </fill>
    <fill>
      <patternFill patternType="solid">
        <fgColor rgb="FFF2F2F2"/>
        <bgColor rgb="FFF5F0E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7"/>
      <rgbColor rgb="FFF2F2F2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0E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5A55A"/>
      <rgbColor rgb="FF003366"/>
      <rgbColor rgb="FF2E7D32"/>
      <rgbColor rgb="FF0F1923"/>
      <rgbColor rgb="FF333300"/>
      <rgbColor rgb="FFC62828"/>
      <rgbColor rgb="FF993366"/>
      <rgbColor rgb="FF333399"/>
      <rgbColor rgb="FF16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A55A"/>
    <pageSetUpPr fitToPage="false"/>
  </sheetPr>
  <dimension ref="B2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5"/>
    <col collapsed="false" customWidth="true" hidden="false" outlineLevel="0" max="6" min="3" style="0" width="22"/>
    <col collapsed="false" customWidth="true" hidden="false" outlineLevel="0" max="7" min="7" style="0" width="3"/>
  </cols>
  <sheetData>
    <row r="2" customFormat="false" ht="22.05" hidden="false" customHeight="true" outlineLevel="0" collapsed="false">
      <c r="B2" s="1" t="s">
        <v>0</v>
      </c>
      <c r="C2" s="1"/>
      <c r="D2" s="1"/>
      <c r="E2" s="1"/>
      <c r="F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</row>
    <row r="5" customFormat="false" ht="15" hidden="false" customHeight="true" outlineLevel="0" collapsed="false">
      <c r="B5" s="3" t="s">
        <v>2</v>
      </c>
      <c r="C5" s="3"/>
      <c r="D5" s="3"/>
      <c r="E5" s="3"/>
      <c r="F5" s="3"/>
    </row>
    <row r="6" customFormat="false" ht="15" hidden="false" customHeight="false" outlineLevel="0" collapsed="false">
      <c r="B6" s="4" t="s">
        <v>3</v>
      </c>
      <c r="C6" s="5" t="s">
        <v>4</v>
      </c>
      <c r="D6" s="5"/>
      <c r="E6" s="5"/>
      <c r="F6" s="5"/>
    </row>
    <row r="7" customFormat="false" ht="15" hidden="false" customHeight="false" outlineLevel="0" collapsed="false">
      <c r="B7" s="4" t="s">
        <v>5</v>
      </c>
      <c r="C7" s="5" t="s">
        <v>6</v>
      </c>
      <c r="D7" s="5"/>
      <c r="E7" s="5"/>
      <c r="F7" s="5"/>
    </row>
    <row r="8" customFormat="false" ht="15" hidden="false" customHeight="false" outlineLevel="0" collapsed="false">
      <c r="B8" s="4" t="s">
        <v>7</v>
      </c>
      <c r="C8" s="5" t="s">
        <v>8</v>
      </c>
      <c r="D8" s="5"/>
      <c r="E8" s="5"/>
      <c r="F8" s="5"/>
    </row>
    <row r="9" customFormat="false" ht="15" hidden="false" customHeight="false" outlineLevel="0" collapsed="false">
      <c r="B9" s="4" t="s">
        <v>9</v>
      </c>
      <c r="C9" s="5" t="s">
        <v>10</v>
      </c>
      <c r="D9" s="5"/>
      <c r="E9" s="5"/>
      <c r="F9" s="5"/>
    </row>
    <row r="10" customFormat="false" ht="15" hidden="false" customHeight="false" outlineLevel="0" collapsed="false">
      <c r="B10" s="4" t="s">
        <v>11</v>
      </c>
      <c r="C10" s="5" t="s">
        <v>12</v>
      </c>
      <c r="D10" s="5"/>
      <c r="E10" s="5"/>
      <c r="F10" s="5"/>
    </row>
    <row r="12" customFormat="false" ht="15" hidden="false" customHeight="true" outlineLevel="0" collapsed="false">
      <c r="B12" s="3" t="s">
        <v>13</v>
      </c>
      <c r="C12" s="3"/>
      <c r="D12" s="3"/>
      <c r="E12" s="3"/>
      <c r="F12" s="3"/>
    </row>
    <row r="13" customFormat="false" ht="15" hidden="false" customHeight="true" outlineLevel="0" collapsed="false">
      <c r="B13" s="6" t="s">
        <v>14</v>
      </c>
      <c r="C13" s="6" t="s">
        <v>9</v>
      </c>
      <c r="D13" s="6" t="s">
        <v>15</v>
      </c>
      <c r="E13" s="6"/>
      <c r="F13" s="6"/>
    </row>
    <row r="14" customFormat="false" ht="17.35" hidden="false" customHeight="false" outlineLevel="0" collapsed="false">
      <c r="B14" s="7" t="s">
        <v>16</v>
      </c>
      <c r="C14" s="8" t="s">
        <v>17</v>
      </c>
      <c r="D14" s="9" t="s">
        <v>18</v>
      </c>
      <c r="E14" s="9"/>
      <c r="F14" s="9"/>
    </row>
    <row r="15" customFormat="false" ht="17.35" hidden="false" customHeight="false" outlineLevel="0" collapsed="false">
      <c r="B15" s="10" t="s">
        <v>19</v>
      </c>
      <c r="C15" s="11" t="s">
        <v>20</v>
      </c>
      <c r="D15" s="12" t="s">
        <v>21</v>
      </c>
      <c r="E15" s="12"/>
      <c r="F15" s="12"/>
    </row>
    <row r="16" customFormat="false" ht="17.35" hidden="false" customHeight="false" outlineLevel="0" collapsed="false">
      <c r="B16" s="7" t="s">
        <v>22</v>
      </c>
      <c r="C16" s="8" t="s">
        <v>23</v>
      </c>
      <c r="D16" s="9" t="s">
        <v>24</v>
      </c>
      <c r="E16" s="9"/>
      <c r="F16" s="9"/>
    </row>
    <row r="17" customFormat="false" ht="17.35" hidden="false" customHeight="false" outlineLevel="0" collapsed="false">
      <c r="B17" s="10" t="s">
        <v>25</v>
      </c>
      <c r="C17" s="11" t="s">
        <v>26</v>
      </c>
      <c r="D17" s="12" t="s">
        <v>27</v>
      </c>
      <c r="E17" s="12"/>
      <c r="F17" s="12"/>
    </row>
    <row r="18" customFormat="false" ht="17.35" hidden="false" customHeight="false" outlineLevel="0" collapsed="false">
      <c r="B18" s="7" t="s">
        <v>28</v>
      </c>
      <c r="C18" s="8" t="s">
        <v>29</v>
      </c>
      <c r="D18" s="9" t="s">
        <v>30</v>
      </c>
      <c r="E18" s="9"/>
      <c r="F18" s="9"/>
    </row>
    <row r="19" customFormat="false" ht="17.35" hidden="false" customHeight="false" outlineLevel="0" collapsed="false">
      <c r="B19" s="10" t="s">
        <v>31</v>
      </c>
      <c r="C19" s="11" t="s">
        <v>32</v>
      </c>
      <c r="D19" s="12" t="s">
        <v>33</v>
      </c>
      <c r="E19" s="12"/>
      <c r="F19" s="12"/>
    </row>
    <row r="21" customFormat="false" ht="15" hidden="false" customHeight="true" outlineLevel="0" collapsed="false">
      <c r="B21" s="3" t="s">
        <v>34</v>
      </c>
      <c r="C21" s="3"/>
      <c r="D21" s="3"/>
      <c r="E21" s="3"/>
      <c r="F21" s="3"/>
    </row>
    <row r="22" customFormat="false" ht="15" hidden="false" customHeight="false" outlineLevel="0" collapsed="false">
      <c r="B22" s="6" t="s">
        <v>35</v>
      </c>
      <c r="C22" s="6" t="s">
        <v>36</v>
      </c>
      <c r="D22" s="6" t="s">
        <v>37</v>
      </c>
      <c r="E22" s="6" t="s">
        <v>38</v>
      </c>
    </row>
    <row r="23" customFormat="false" ht="57.45" hidden="false" customHeight="false" outlineLevel="0" collapsed="false">
      <c r="B23" s="13" t="s">
        <v>39</v>
      </c>
      <c r="C23" s="14" t="s">
        <v>40</v>
      </c>
      <c r="D23" s="14" t="s">
        <v>41</v>
      </c>
      <c r="E23" s="14" t="s">
        <v>42</v>
      </c>
    </row>
    <row r="24" customFormat="false" ht="68.65" hidden="false" customHeight="false" outlineLevel="0" collapsed="false">
      <c r="B24" s="15" t="s">
        <v>43</v>
      </c>
      <c r="C24" s="16" t="s">
        <v>44</v>
      </c>
      <c r="D24" s="16" t="s">
        <v>45</v>
      </c>
      <c r="E24" s="16" t="s">
        <v>46</v>
      </c>
    </row>
    <row r="25" customFormat="false" ht="49.5" hidden="false" customHeight="true" outlineLevel="0" collapsed="false">
      <c r="B25" s="13" t="s">
        <v>47</v>
      </c>
      <c r="C25" s="14" t="s">
        <v>48</v>
      </c>
      <c r="D25" s="14" t="s">
        <v>49</v>
      </c>
      <c r="E25" s="14" t="s">
        <v>50</v>
      </c>
    </row>
  </sheetData>
  <mergeCells count="17">
    <mergeCell ref="B2:F2"/>
    <mergeCell ref="B3:F3"/>
    <mergeCell ref="B5:F5"/>
    <mergeCell ref="C6:F6"/>
    <mergeCell ref="C7:F7"/>
    <mergeCell ref="C8:F8"/>
    <mergeCell ref="C9:F9"/>
    <mergeCell ref="C10:F10"/>
    <mergeCell ref="B12:F12"/>
    <mergeCell ref="D13:F13"/>
    <mergeCell ref="D14:F14"/>
    <mergeCell ref="D15:F15"/>
    <mergeCell ref="D16:F16"/>
    <mergeCell ref="D17:F17"/>
    <mergeCell ref="D18:F18"/>
    <mergeCell ref="D19:F19"/>
    <mergeCell ref="B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1923"/>
    <pageSetUpPr fitToPage="false"/>
  </sheetPr>
  <dimension ref="B2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35"/>
    <col collapsed="false" customWidth="true" hidden="false" outlineLevel="0" max="5" min="5" style="0" width="15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3"/>
  </cols>
  <sheetData>
    <row r="2" customFormat="false" ht="22.05" hidden="false" customHeight="true" outlineLevel="0" collapsed="false">
      <c r="B2" s="1" t="s">
        <v>51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7" t="s">
        <v>52</v>
      </c>
      <c r="C4" s="17" t="s">
        <v>53</v>
      </c>
      <c r="D4" s="17" t="s">
        <v>54</v>
      </c>
      <c r="E4" s="17" t="s">
        <v>55</v>
      </c>
      <c r="F4" s="17" t="s">
        <v>56</v>
      </c>
      <c r="G4" s="17" t="s">
        <v>38</v>
      </c>
      <c r="H4" s="17" t="s">
        <v>57</v>
      </c>
    </row>
    <row r="5" customFormat="false" ht="27.75" hidden="false" customHeight="true" outlineLevel="0" collapsed="false">
      <c r="B5" s="18" t="s">
        <v>58</v>
      </c>
      <c r="C5" s="18"/>
      <c r="D5" s="18"/>
      <c r="E5" s="18"/>
      <c r="F5" s="18"/>
      <c r="G5" s="18"/>
      <c r="H5" s="18"/>
    </row>
    <row r="6" customFormat="false" ht="27.75" hidden="false" customHeight="true" outlineLevel="0" collapsed="false">
      <c r="B6" s="19" t="s">
        <v>59</v>
      </c>
      <c r="C6" s="19" t="s">
        <v>60</v>
      </c>
      <c r="D6" s="20" t="s">
        <v>61</v>
      </c>
      <c r="E6" s="20" t="s">
        <v>62</v>
      </c>
      <c r="F6" s="20" t="s">
        <v>63</v>
      </c>
      <c r="G6" s="20" t="s">
        <v>64</v>
      </c>
      <c r="H6" s="20" t="s">
        <v>65</v>
      </c>
    </row>
    <row r="7" customFormat="false" ht="27.75" hidden="false" customHeight="true" outlineLevel="0" collapsed="false">
      <c r="B7" s="21" t="s">
        <v>59</v>
      </c>
      <c r="C7" s="21" t="s">
        <v>60</v>
      </c>
      <c r="D7" s="22" t="s">
        <v>66</v>
      </c>
      <c r="E7" s="22" t="s">
        <v>67</v>
      </c>
      <c r="F7" s="22" t="s">
        <v>63</v>
      </c>
      <c r="G7" s="22" t="s">
        <v>68</v>
      </c>
      <c r="H7" s="22" t="s">
        <v>65</v>
      </c>
    </row>
    <row r="8" customFormat="false" ht="27.75" hidden="false" customHeight="true" outlineLevel="0" collapsed="false">
      <c r="B8" s="19" t="s">
        <v>59</v>
      </c>
      <c r="C8" s="19" t="s">
        <v>60</v>
      </c>
      <c r="D8" s="20" t="s">
        <v>69</v>
      </c>
      <c r="E8" s="20" t="s">
        <v>70</v>
      </c>
      <c r="F8" s="20" t="s">
        <v>63</v>
      </c>
      <c r="G8" s="20" t="s">
        <v>68</v>
      </c>
      <c r="H8" s="20" t="s">
        <v>65</v>
      </c>
    </row>
    <row r="9" customFormat="false" ht="27.75" hidden="false" customHeight="true" outlineLevel="0" collapsed="false">
      <c r="B9" s="21" t="s">
        <v>59</v>
      </c>
      <c r="C9" s="21" t="s">
        <v>60</v>
      </c>
      <c r="D9" s="22" t="s">
        <v>71</v>
      </c>
      <c r="E9" s="22" t="s">
        <v>72</v>
      </c>
      <c r="F9" s="22" t="s">
        <v>63</v>
      </c>
      <c r="G9" s="22" t="s">
        <v>68</v>
      </c>
      <c r="H9" s="22" t="s">
        <v>65</v>
      </c>
    </row>
    <row r="10" customFormat="false" ht="27.75" hidden="false" customHeight="true" outlineLevel="0" collapsed="false">
      <c r="B10" s="19" t="s">
        <v>73</v>
      </c>
      <c r="C10" s="19" t="s">
        <v>74</v>
      </c>
      <c r="D10" s="20" t="s">
        <v>75</v>
      </c>
      <c r="E10" s="20" t="s">
        <v>76</v>
      </c>
      <c r="F10" s="20" t="s">
        <v>63</v>
      </c>
      <c r="G10" s="20" t="s">
        <v>68</v>
      </c>
      <c r="H10" s="20" t="s">
        <v>65</v>
      </c>
    </row>
    <row r="11" customFormat="false" ht="27.75" hidden="false" customHeight="true" outlineLevel="0" collapsed="false">
      <c r="B11" s="21" t="s">
        <v>73</v>
      </c>
      <c r="C11" s="21" t="s">
        <v>74</v>
      </c>
      <c r="D11" s="22" t="s">
        <v>77</v>
      </c>
      <c r="E11" s="22" t="s">
        <v>78</v>
      </c>
      <c r="F11" s="22" t="s">
        <v>63</v>
      </c>
      <c r="G11" s="22" t="s">
        <v>79</v>
      </c>
      <c r="H11" s="22" t="s">
        <v>65</v>
      </c>
    </row>
    <row r="12" customFormat="false" ht="27.75" hidden="false" customHeight="true" outlineLevel="0" collapsed="false">
      <c r="B12" s="19" t="s">
        <v>73</v>
      </c>
      <c r="C12" s="19" t="s">
        <v>80</v>
      </c>
      <c r="D12" s="20" t="s">
        <v>81</v>
      </c>
      <c r="E12" s="20" t="s">
        <v>82</v>
      </c>
      <c r="F12" s="20" t="s">
        <v>63</v>
      </c>
      <c r="G12" s="20" t="s">
        <v>68</v>
      </c>
      <c r="H12" s="20" t="s">
        <v>65</v>
      </c>
    </row>
    <row r="13" customFormat="false" ht="27.75" hidden="false" customHeight="true" outlineLevel="0" collapsed="false">
      <c r="B13" s="21" t="s">
        <v>83</v>
      </c>
      <c r="C13" s="21" t="s">
        <v>80</v>
      </c>
      <c r="D13" s="22" t="s">
        <v>84</v>
      </c>
      <c r="E13" s="22" t="s">
        <v>85</v>
      </c>
      <c r="F13" s="22" t="s">
        <v>63</v>
      </c>
      <c r="G13" s="22" t="s">
        <v>68</v>
      </c>
      <c r="H13" s="22" t="s">
        <v>65</v>
      </c>
    </row>
    <row r="14" customFormat="false" ht="27.75" hidden="false" customHeight="true" outlineLevel="0" collapsed="false">
      <c r="B14" s="19" t="s">
        <v>83</v>
      </c>
      <c r="C14" s="19" t="s">
        <v>74</v>
      </c>
      <c r="D14" s="20" t="s">
        <v>86</v>
      </c>
      <c r="E14" s="20" t="s">
        <v>87</v>
      </c>
      <c r="F14" s="20" t="s">
        <v>63</v>
      </c>
      <c r="G14" s="20" t="s">
        <v>88</v>
      </c>
      <c r="H14" s="20" t="s">
        <v>65</v>
      </c>
    </row>
    <row r="15" customFormat="false" ht="27.75" hidden="false" customHeight="true" outlineLevel="0" collapsed="false">
      <c r="B15" s="21" t="s">
        <v>83</v>
      </c>
      <c r="C15" s="21" t="s">
        <v>60</v>
      </c>
      <c r="D15" s="22" t="s">
        <v>89</v>
      </c>
      <c r="E15" s="22" t="s">
        <v>90</v>
      </c>
      <c r="F15" s="22" t="s">
        <v>63</v>
      </c>
      <c r="G15" s="22" t="s">
        <v>68</v>
      </c>
      <c r="H15" s="22" t="s">
        <v>65</v>
      </c>
    </row>
    <row r="16" customFormat="false" ht="27.75" hidden="false" customHeight="true" outlineLevel="0" collapsed="false">
      <c r="B16" s="19" t="s">
        <v>91</v>
      </c>
      <c r="C16" s="19" t="s">
        <v>80</v>
      </c>
      <c r="D16" s="20" t="s">
        <v>92</v>
      </c>
      <c r="E16" s="20" t="s">
        <v>93</v>
      </c>
      <c r="F16" s="20" t="s">
        <v>63</v>
      </c>
      <c r="G16" s="20" t="s">
        <v>64</v>
      </c>
      <c r="H16" s="20" t="s">
        <v>65</v>
      </c>
    </row>
    <row r="17" customFormat="false" ht="27.75" hidden="false" customHeight="true" outlineLevel="0" collapsed="false">
      <c r="B17" s="21" t="s">
        <v>91</v>
      </c>
      <c r="C17" s="21" t="s">
        <v>60</v>
      </c>
      <c r="D17" s="22" t="s">
        <v>94</v>
      </c>
      <c r="E17" s="22" t="s">
        <v>95</v>
      </c>
      <c r="F17" s="22" t="s">
        <v>63</v>
      </c>
      <c r="G17" s="22" t="s">
        <v>96</v>
      </c>
      <c r="H17" s="22" t="s">
        <v>65</v>
      </c>
    </row>
    <row r="18" customFormat="false" ht="27.75" hidden="false" customHeight="true" outlineLevel="0" collapsed="false">
      <c r="B18" s="18" t="s">
        <v>97</v>
      </c>
      <c r="C18" s="18"/>
      <c r="D18" s="18"/>
      <c r="E18" s="18"/>
      <c r="F18" s="18"/>
      <c r="G18" s="18"/>
      <c r="H18" s="18"/>
    </row>
    <row r="19" customFormat="false" ht="27.75" hidden="false" customHeight="true" outlineLevel="0" collapsed="false">
      <c r="B19" s="21" t="s">
        <v>98</v>
      </c>
      <c r="C19" s="21" t="s">
        <v>99</v>
      </c>
      <c r="D19" s="22" t="s">
        <v>100</v>
      </c>
      <c r="E19" s="22" t="s">
        <v>101</v>
      </c>
      <c r="F19" s="22" t="s">
        <v>63</v>
      </c>
      <c r="G19" s="22" t="s">
        <v>88</v>
      </c>
      <c r="H19" s="22" t="s">
        <v>65</v>
      </c>
    </row>
    <row r="20" customFormat="false" ht="27.75" hidden="false" customHeight="true" outlineLevel="0" collapsed="false">
      <c r="B20" s="19" t="s">
        <v>98</v>
      </c>
      <c r="C20" s="19" t="s">
        <v>80</v>
      </c>
      <c r="D20" s="20" t="s">
        <v>102</v>
      </c>
      <c r="E20" s="20" t="s">
        <v>103</v>
      </c>
      <c r="F20" s="20" t="s">
        <v>63</v>
      </c>
      <c r="G20" s="20" t="s">
        <v>68</v>
      </c>
      <c r="H20" s="20" t="s">
        <v>65</v>
      </c>
    </row>
    <row r="21" customFormat="false" ht="27.75" hidden="false" customHeight="true" outlineLevel="0" collapsed="false">
      <c r="B21" s="21" t="s">
        <v>98</v>
      </c>
      <c r="C21" s="21" t="s">
        <v>74</v>
      </c>
      <c r="D21" s="22" t="s">
        <v>104</v>
      </c>
      <c r="E21" s="22" t="s">
        <v>105</v>
      </c>
      <c r="F21" s="22" t="s">
        <v>63</v>
      </c>
      <c r="G21" s="22" t="s">
        <v>68</v>
      </c>
      <c r="H21" s="22" t="s">
        <v>65</v>
      </c>
    </row>
    <row r="22" customFormat="false" ht="27.75" hidden="false" customHeight="true" outlineLevel="0" collapsed="false">
      <c r="B22" s="19" t="s">
        <v>106</v>
      </c>
      <c r="C22" s="19" t="s">
        <v>80</v>
      </c>
      <c r="D22" s="20" t="s">
        <v>107</v>
      </c>
      <c r="E22" s="20" t="s">
        <v>108</v>
      </c>
      <c r="F22" s="20" t="s">
        <v>63</v>
      </c>
      <c r="G22" s="20" t="s">
        <v>109</v>
      </c>
      <c r="H22" s="20" t="s">
        <v>65</v>
      </c>
    </row>
    <row r="23" customFormat="false" ht="27.75" hidden="false" customHeight="true" outlineLevel="0" collapsed="false">
      <c r="B23" s="21" t="s">
        <v>106</v>
      </c>
      <c r="C23" s="21" t="s">
        <v>60</v>
      </c>
      <c r="D23" s="22" t="s">
        <v>110</v>
      </c>
      <c r="E23" s="22" t="s">
        <v>111</v>
      </c>
      <c r="F23" s="22" t="s">
        <v>63</v>
      </c>
      <c r="G23" s="22" t="s">
        <v>68</v>
      </c>
      <c r="H23" s="22" t="s">
        <v>65</v>
      </c>
    </row>
    <row r="24" customFormat="false" ht="27.75" hidden="false" customHeight="true" outlineLevel="0" collapsed="false">
      <c r="B24" s="19" t="s">
        <v>106</v>
      </c>
      <c r="C24" s="19" t="s">
        <v>74</v>
      </c>
      <c r="D24" s="20" t="s">
        <v>112</v>
      </c>
      <c r="E24" s="20" t="s">
        <v>113</v>
      </c>
      <c r="F24" s="20" t="s">
        <v>63</v>
      </c>
      <c r="G24" s="20" t="s">
        <v>64</v>
      </c>
      <c r="H24" s="20" t="s">
        <v>65</v>
      </c>
    </row>
    <row r="25" customFormat="false" ht="27.75" hidden="false" customHeight="true" outlineLevel="0" collapsed="false">
      <c r="B25" s="21" t="s">
        <v>114</v>
      </c>
      <c r="C25" s="21" t="s">
        <v>99</v>
      </c>
      <c r="D25" s="22" t="s">
        <v>115</v>
      </c>
      <c r="E25" s="22" t="s">
        <v>116</v>
      </c>
      <c r="F25" s="22" t="s">
        <v>63</v>
      </c>
      <c r="G25" s="22" t="s">
        <v>109</v>
      </c>
      <c r="H25" s="22" t="s">
        <v>65</v>
      </c>
    </row>
    <row r="26" customFormat="false" ht="27.75" hidden="false" customHeight="true" outlineLevel="0" collapsed="false">
      <c r="B26" s="19" t="s">
        <v>114</v>
      </c>
      <c r="C26" s="19" t="s">
        <v>80</v>
      </c>
      <c r="D26" s="20" t="s">
        <v>117</v>
      </c>
      <c r="E26" s="20" t="s">
        <v>118</v>
      </c>
      <c r="F26" s="20" t="s">
        <v>63</v>
      </c>
      <c r="G26" s="20" t="s">
        <v>68</v>
      </c>
      <c r="H26" s="20" t="s">
        <v>65</v>
      </c>
    </row>
    <row r="27" customFormat="false" ht="27.75" hidden="false" customHeight="true" outlineLevel="0" collapsed="false">
      <c r="B27" s="21" t="s">
        <v>119</v>
      </c>
      <c r="C27" s="21" t="s">
        <v>74</v>
      </c>
      <c r="D27" s="22" t="s">
        <v>120</v>
      </c>
      <c r="E27" s="22" t="s">
        <v>121</v>
      </c>
      <c r="F27" s="22" t="s">
        <v>63</v>
      </c>
      <c r="G27" s="22" t="s">
        <v>68</v>
      </c>
      <c r="H27" s="22" t="s">
        <v>65</v>
      </c>
    </row>
    <row r="28" customFormat="false" ht="27.75" hidden="false" customHeight="true" outlineLevel="0" collapsed="false">
      <c r="B28" s="19" t="s">
        <v>119</v>
      </c>
      <c r="C28" s="19" t="s">
        <v>60</v>
      </c>
      <c r="D28" s="20" t="s">
        <v>122</v>
      </c>
      <c r="E28" s="20" t="s">
        <v>123</v>
      </c>
      <c r="F28" s="20" t="s">
        <v>63</v>
      </c>
      <c r="G28" s="20" t="s">
        <v>68</v>
      </c>
      <c r="H28" s="20" t="s">
        <v>65</v>
      </c>
    </row>
    <row r="29" customFormat="false" ht="27.75" hidden="false" customHeight="true" outlineLevel="0" collapsed="false">
      <c r="B29" s="21" t="s">
        <v>119</v>
      </c>
      <c r="C29" s="21" t="s">
        <v>80</v>
      </c>
      <c r="D29" s="22" t="s">
        <v>124</v>
      </c>
      <c r="E29" s="22" t="s">
        <v>125</v>
      </c>
      <c r="F29" s="22" t="s">
        <v>63</v>
      </c>
      <c r="G29" s="22" t="s">
        <v>109</v>
      </c>
      <c r="H29" s="22" t="s">
        <v>65</v>
      </c>
    </row>
    <row r="30" customFormat="false" ht="27.75" hidden="false" customHeight="true" outlineLevel="0" collapsed="false">
      <c r="B30" s="18" t="s">
        <v>126</v>
      </c>
      <c r="C30" s="18"/>
      <c r="D30" s="18"/>
      <c r="E30" s="18"/>
      <c r="F30" s="18"/>
      <c r="G30" s="18"/>
      <c r="H30" s="18"/>
    </row>
    <row r="31" customFormat="false" ht="27.75" hidden="false" customHeight="true" outlineLevel="0" collapsed="false">
      <c r="B31" s="21" t="s">
        <v>127</v>
      </c>
      <c r="C31" s="21" t="s">
        <v>128</v>
      </c>
      <c r="D31" s="22" t="s">
        <v>129</v>
      </c>
      <c r="E31" s="22" t="s">
        <v>130</v>
      </c>
      <c r="F31" s="22" t="s">
        <v>63</v>
      </c>
      <c r="G31" s="22" t="s">
        <v>68</v>
      </c>
      <c r="H31" s="22" t="s">
        <v>65</v>
      </c>
    </row>
    <row r="32" customFormat="false" ht="27.75" hidden="false" customHeight="true" outlineLevel="0" collapsed="false">
      <c r="B32" s="19" t="s">
        <v>127</v>
      </c>
      <c r="C32" s="19" t="s">
        <v>74</v>
      </c>
      <c r="D32" s="20" t="s">
        <v>131</v>
      </c>
      <c r="E32" s="20" t="s">
        <v>132</v>
      </c>
      <c r="F32" s="20" t="s">
        <v>63</v>
      </c>
      <c r="G32" s="20" t="s">
        <v>68</v>
      </c>
      <c r="H32" s="20" t="s">
        <v>65</v>
      </c>
    </row>
    <row r="33" customFormat="false" ht="27.75" hidden="false" customHeight="true" outlineLevel="0" collapsed="false">
      <c r="B33" s="21" t="s">
        <v>133</v>
      </c>
      <c r="C33" s="21" t="s">
        <v>99</v>
      </c>
      <c r="D33" s="22" t="s">
        <v>134</v>
      </c>
      <c r="E33" s="22" t="s">
        <v>135</v>
      </c>
      <c r="F33" s="22" t="s">
        <v>63</v>
      </c>
      <c r="G33" s="22" t="s">
        <v>88</v>
      </c>
      <c r="H33" s="22" t="s">
        <v>65</v>
      </c>
    </row>
    <row r="34" customFormat="false" ht="27.75" hidden="false" customHeight="true" outlineLevel="0" collapsed="false">
      <c r="B34" s="19" t="s">
        <v>133</v>
      </c>
      <c r="C34" s="19" t="s">
        <v>80</v>
      </c>
      <c r="D34" s="20" t="s">
        <v>136</v>
      </c>
      <c r="E34" s="20" t="s">
        <v>137</v>
      </c>
      <c r="F34" s="20" t="s">
        <v>63</v>
      </c>
      <c r="G34" s="20" t="s">
        <v>109</v>
      </c>
      <c r="H34" s="20" t="s">
        <v>65</v>
      </c>
    </row>
    <row r="35" customFormat="false" ht="27.75" hidden="false" customHeight="true" outlineLevel="0" collapsed="false">
      <c r="B35" s="21" t="s">
        <v>133</v>
      </c>
      <c r="C35" s="21" t="s">
        <v>128</v>
      </c>
      <c r="D35" s="22" t="s">
        <v>138</v>
      </c>
      <c r="E35" s="22" t="s">
        <v>139</v>
      </c>
      <c r="F35" s="22" t="s">
        <v>63</v>
      </c>
      <c r="G35" s="22" t="s">
        <v>68</v>
      </c>
      <c r="H35" s="22" t="s">
        <v>65</v>
      </c>
    </row>
    <row r="36" customFormat="false" ht="27.75" hidden="false" customHeight="true" outlineLevel="0" collapsed="false">
      <c r="B36" s="19" t="s">
        <v>140</v>
      </c>
      <c r="C36" s="19" t="s">
        <v>80</v>
      </c>
      <c r="D36" s="20" t="s">
        <v>141</v>
      </c>
      <c r="E36" s="20" t="s">
        <v>142</v>
      </c>
      <c r="F36" s="20" t="s">
        <v>63</v>
      </c>
      <c r="G36" s="20" t="s">
        <v>68</v>
      </c>
      <c r="H36" s="20" t="s">
        <v>65</v>
      </c>
    </row>
    <row r="37" customFormat="false" ht="27.75" hidden="false" customHeight="true" outlineLevel="0" collapsed="false">
      <c r="B37" s="21" t="s">
        <v>140</v>
      </c>
      <c r="C37" s="21" t="s">
        <v>60</v>
      </c>
      <c r="D37" s="22" t="s">
        <v>143</v>
      </c>
      <c r="E37" s="22" t="s">
        <v>144</v>
      </c>
      <c r="F37" s="22" t="s">
        <v>63</v>
      </c>
      <c r="G37" s="22" t="s">
        <v>68</v>
      </c>
      <c r="H37" s="22" t="s">
        <v>65</v>
      </c>
    </row>
    <row r="38" customFormat="false" ht="27.75" hidden="false" customHeight="true" outlineLevel="0" collapsed="false">
      <c r="B38" s="19" t="s">
        <v>145</v>
      </c>
      <c r="C38" s="19" t="s">
        <v>74</v>
      </c>
      <c r="D38" s="20" t="s">
        <v>146</v>
      </c>
      <c r="E38" s="20" t="s">
        <v>147</v>
      </c>
      <c r="F38" s="20" t="s">
        <v>63</v>
      </c>
      <c r="G38" s="20" t="s">
        <v>64</v>
      </c>
      <c r="H38" s="20" t="s">
        <v>65</v>
      </c>
    </row>
    <row r="39" customFormat="false" ht="27.75" hidden="false" customHeight="true" outlineLevel="0" collapsed="false">
      <c r="B39" s="21" t="s">
        <v>145</v>
      </c>
      <c r="C39" s="21" t="s">
        <v>128</v>
      </c>
      <c r="D39" s="22" t="s">
        <v>148</v>
      </c>
      <c r="E39" s="22" t="s">
        <v>149</v>
      </c>
      <c r="F39" s="22" t="s">
        <v>63</v>
      </c>
      <c r="G39" s="22" t="s">
        <v>68</v>
      </c>
      <c r="H39" s="22" t="s">
        <v>65</v>
      </c>
    </row>
    <row r="40" customFormat="false" ht="27.75" hidden="false" customHeight="true" outlineLevel="0" collapsed="false">
      <c r="B40" s="19" t="s">
        <v>150</v>
      </c>
      <c r="C40" s="19" t="s">
        <v>151</v>
      </c>
      <c r="D40" s="20" t="s">
        <v>152</v>
      </c>
      <c r="E40" s="20" t="s">
        <v>153</v>
      </c>
      <c r="F40" s="20" t="s">
        <v>63</v>
      </c>
      <c r="G40" s="20" t="s">
        <v>68</v>
      </c>
      <c r="H40" s="20" t="s">
        <v>65</v>
      </c>
    </row>
    <row r="41" customFormat="false" ht="27.75" hidden="false" customHeight="true" outlineLevel="0" collapsed="false">
      <c r="B41" s="21" t="s">
        <v>150</v>
      </c>
      <c r="C41" s="21" t="s">
        <v>60</v>
      </c>
      <c r="D41" s="22" t="s">
        <v>154</v>
      </c>
      <c r="E41" s="22" t="s">
        <v>155</v>
      </c>
      <c r="F41" s="22" t="s">
        <v>63</v>
      </c>
      <c r="G41" s="22" t="s">
        <v>68</v>
      </c>
      <c r="H41" s="22" t="s">
        <v>65</v>
      </c>
    </row>
  </sheetData>
  <mergeCells count="4">
    <mergeCell ref="B2:H2"/>
    <mergeCell ref="B5:H5"/>
    <mergeCell ref="B18:H18"/>
    <mergeCell ref="B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A55A"/>
    <pageSetUpPr fitToPage="false"/>
  </sheetPr>
  <dimension ref="B2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6" min="3" style="0" width="18"/>
    <col collapsed="false" customWidth="true" hidden="false" outlineLevel="0" max="7" min="7" style="0" width="3"/>
  </cols>
  <sheetData>
    <row r="2" customFormat="false" ht="22.05" hidden="false" customHeight="false" outlineLevel="0" collapsed="false">
      <c r="B2" s="23" t="s">
        <v>156</v>
      </c>
      <c r="C2" s="23"/>
      <c r="D2" s="23"/>
      <c r="E2" s="23"/>
      <c r="F2" s="23"/>
    </row>
    <row r="4" customFormat="false" ht="15" hidden="false" customHeight="false" outlineLevel="0" collapsed="false">
      <c r="B4" s="17" t="s">
        <v>157</v>
      </c>
      <c r="C4" s="17" t="s">
        <v>158</v>
      </c>
      <c r="D4" s="17" t="s">
        <v>159</v>
      </c>
      <c r="E4" s="17" t="s">
        <v>160</v>
      </c>
      <c r="F4" s="17" t="s">
        <v>161</v>
      </c>
    </row>
    <row r="5" customFormat="false" ht="15" hidden="false" customHeight="false" outlineLevel="0" collapsed="false">
      <c r="B5" s="24" t="s">
        <v>162</v>
      </c>
      <c r="C5" s="25" t="n">
        <v>300</v>
      </c>
      <c r="D5" s="25" t="n">
        <v>2000</v>
      </c>
      <c r="E5" s="25" t="n">
        <v>1500</v>
      </c>
      <c r="F5" s="26" t="n">
        <f aca="false">SUM(C5:E5)</f>
        <v>3800</v>
      </c>
    </row>
    <row r="6" customFormat="false" ht="15" hidden="false" customHeight="false" outlineLevel="0" collapsed="false">
      <c r="B6" s="27" t="s">
        <v>163</v>
      </c>
      <c r="C6" s="28" t="n">
        <v>0</v>
      </c>
      <c r="D6" s="28" t="n">
        <v>1000</v>
      </c>
      <c r="E6" s="28" t="n">
        <v>0</v>
      </c>
      <c r="F6" s="29" t="n">
        <f aca="false">SUM(C6:E6)</f>
        <v>1000</v>
      </c>
    </row>
    <row r="7" customFormat="false" ht="15" hidden="false" customHeight="false" outlineLevel="0" collapsed="false">
      <c r="B7" s="24" t="s">
        <v>164</v>
      </c>
      <c r="C7" s="25" t="n">
        <v>1500</v>
      </c>
      <c r="D7" s="25" t="n">
        <v>500</v>
      </c>
      <c r="E7" s="25" t="n">
        <v>500</v>
      </c>
      <c r="F7" s="26" t="n">
        <f aca="false">SUM(C7:E7)</f>
        <v>2500</v>
      </c>
    </row>
    <row r="8" customFormat="false" ht="15" hidden="false" customHeight="false" outlineLevel="0" collapsed="false">
      <c r="B8" s="27" t="s">
        <v>165</v>
      </c>
      <c r="C8" s="28" t="n">
        <v>500</v>
      </c>
      <c r="D8" s="28" t="n">
        <v>1000</v>
      </c>
      <c r="E8" s="28" t="n">
        <v>1000</v>
      </c>
      <c r="F8" s="29" t="n">
        <f aca="false">SUM(C8:E8)</f>
        <v>2500</v>
      </c>
    </row>
    <row r="9" customFormat="false" ht="15" hidden="false" customHeight="false" outlineLevel="0" collapsed="false">
      <c r="B9" s="24" t="s">
        <v>166</v>
      </c>
      <c r="C9" s="25" t="n">
        <v>500</v>
      </c>
      <c r="D9" s="25" t="n">
        <v>0</v>
      </c>
      <c r="E9" s="25" t="n">
        <v>0</v>
      </c>
      <c r="F9" s="26" t="n">
        <f aca="false">SUM(C9:E9)</f>
        <v>500</v>
      </c>
    </row>
    <row r="10" customFormat="false" ht="15" hidden="false" customHeight="false" outlineLevel="0" collapsed="false">
      <c r="B10" s="27" t="s">
        <v>167</v>
      </c>
      <c r="C10" s="28" t="n">
        <v>200</v>
      </c>
      <c r="D10" s="28" t="n">
        <v>0</v>
      </c>
      <c r="E10" s="28" t="n">
        <v>0</v>
      </c>
      <c r="F10" s="29" t="n">
        <f aca="false">SUM(C10:E10)</f>
        <v>200</v>
      </c>
    </row>
    <row r="11" customFormat="false" ht="15" hidden="false" customHeight="false" outlineLevel="0" collapsed="false">
      <c r="B11" s="24" t="s">
        <v>168</v>
      </c>
      <c r="C11" s="25" t="n">
        <v>200</v>
      </c>
      <c r="D11" s="25" t="n">
        <v>0</v>
      </c>
      <c r="E11" s="25" t="n">
        <v>0</v>
      </c>
      <c r="F11" s="26" t="n">
        <f aca="false">SUM(C11:E11)</f>
        <v>200</v>
      </c>
    </row>
    <row r="12" customFormat="false" ht="15" hidden="false" customHeight="false" outlineLevel="0" collapsed="false">
      <c r="B12" s="27" t="s">
        <v>169</v>
      </c>
      <c r="C12" s="28" t="n">
        <v>0</v>
      </c>
      <c r="D12" s="28" t="n">
        <v>500</v>
      </c>
      <c r="E12" s="28" t="n">
        <v>1000</v>
      </c>
      <c r="F12" s="29" t="n">
        <f aca="false">SUM(C12:E12)</f>
        <v>1500</v>
      </c>
    </row>
    <row r="13" customFormat="false" ht="15" hidden="false" customHeight="false" outlineLevel="0" collapsed="false">
      <c r="B13" s="30" t="s">
        <v>170</v>
      </c>
      <c r="C13" s="31" t="n">
        <f aca="false">SUM(C5:C12)</f>
        <v>3200</v>
      </c>
      <c r="D13" s="31" t="n">
        <f aca="false">SUM(D5:D12)</f>
        <v>5000</v>
      </c>
      <c r="E13" s="31" t="n">
        <f aca="false">SUM(E5:E12)</f>
        <v>4000</v>
      </c>
      <c r="F13" s="31" t="n">
        <f aca="false">SUM(F5:F12)</f>
        <v>12200</v>
      </c>
    </row>
    <row r="15" customFormat="false" ht="15" hidden="false" customHeight="false" outlineLevel="0" collapsed="false">
      <c r="B15" s="32" t="s">
        <v>171</v>
      </c>
      <c r="C15" s="32"/>
      <c r="D15" s="32"/>
      <c r="E15" s="32"/>
      <c r="F15" s="32"/>
    </row>
    <row r="17" customFormat="false" ht="15" hidden="false" customHeight="true" outlineLevel="0" collapsed="false">
      <c r="B17" s="3" t="s">
        <v>172</v>
      </c>
      <c r="C17" s="3"/>
      <c r="D17" s="3"/>
      <c r="E17" s="3"/>
      <c r="F17" s="3"/>
    </row>
    <row r="18" customFormat="false" ht="15" hidden="false" customHeight="false" outlineLevel="0" collapsed="false">
      <c r="B18" s="6" t="s">
        <v>53</v>
      </c>
      <c r="C18" s="6" t="s">
        <v>173</v>
      </c>
      <c r="D18" s="6" t="s">
        <v>174</v>
      </c>
    </row>
    <row r="19" customFormat="false" ht="15" hidden="false" customHeight="false" outlineLevel="0" collapsed="false">
      <c r="B19" s="24" t="s">
        <v>175</v>
      </c>
      <c r="C19" s="26" t="n">
        <f aca="false">C5+C6+D5+D6+E5+E6</f>
        <v>4800</v>
      </c>
      <c r="D19" s="33" t="s">
        <v>176</v>
      </c>
    </row>
    <row r="20" customFormat="false" ht="15" hidden="false" customHeight="false" outlineLevel="0" collapsed="false">
      <c r="B20" s="27" t="s">
        <v>177</v>
      </c>
      <c r="C20" s="29" t="n">
        <f aca="false">C7+D7+E7+C9+C10+D10+E10</f>
        <v>3200</v>
      </c>
      <c r="D20" s="34" t="s">
        <v>178</v>
      </c>
    </row>
    <row r="21" customFormat="false" ht="15" hidden="false" customHeight="false" outlineLevel="0" collapsed="false">
      <c r="B21" s="24" t="s">
        <v>165</v>
      </c>
      <c r="C21" s="26" t="n">
        <f aca="false">C8+D8+E8</f>
        <v>2500</v>
      </c>
      <c r="D21" s="33" t="s">
        <v>179</v>
      </c>
    </row>
    <row r="22" customFormat="false" ht="15" hidden="false" customHeight="false" outlineLevel="0" collapsed="false">
      <c r="B22" s="27" t="s">
        <v>180</v>
      </c>
      <c r="C22" s="29" t="n">
        <f aca="false">C9</f>
        <v>500</v>
      </c>
      <c r="D22" s="34" t="s">
        <v>181</v>
      </c>
    </row>
    <row r="23" customFormat="false" ht="15" hidden="false" customHeight="false" outlineLevel="0" collapsed="false">
      <c r="B23" s="24" t="s">
        <v>182</v>
      </c>
      <c r="C23" s="26" t="n">
        <f aca="false">D11+E11</f>
        <v>0</v>
      </c>
      <c r="D23" s="33" t="s">
        <v>183</v>
      </c>
    </row>
  </sheetData>
  <mergeCells count="3">
    <mergeCell ref="B2:F2"/>
    <mergeCell ref="B15:F15"/>
    <mergeCell ref="B17:F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230"/>
    <pageSetUpPr fitToPage="false"/>
  </sheetPr>
  <dimension ref="B2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3"/>
  </cols>
  <sheetData>
    <row r="2" customFormat="false" ht="22.05" hidden="false" customHeight="false" outlineLevel="0" collapsed="false">
      <c r="B2" s="23" t="s">
        <v>184</v>
      </c>
      <c r="C2" s="23"/>
      <c r="D2" s="23"/>
      <c r="E2" s="23"/>
      <c r="F2" s="23"/>
      <c r="G2" s="23"/>
    </row>
    <row r="4" customFormat="false" ht="15" hidden="false" customHeight="false" outlineLevel="0" collapsed="false">
      <c r="B4" s="17" t="s">
        <v>185</v>
      </c>
      <c r="C4" s="17" t="s">
        <v>186</v>
      </c>
      <c r="D4" s="17" t="s">
        <v>187</v>
      </c>
      <c r="E4" s="17" t="s">
        <v>188</v>
      </c>
      <c r="F4" s="17" t="s">
        <v>189</v>
      </c>
      <c r="G4" s="17" t="s">
        <v>190</v>
      </c>
    </row>
    <row r="5" customFormat="false" ht="27.75" hidden="false" customHeight="true" outlineLevel="0" collapsed="false">
      <c r="B5" s="33" t="s">
        <v>59</v>
      </c>
      <c r="C5" s="33" t="s">
        <v>191</v>
      </c>
      <c r="D5" s="14" t="s">
        <v>192</v>
      </c>
      <c r="E5" s="14" t="s">
        <v>193</v>
      </c>
      <c r="F5" s="14" t="s">
        <v>194</v>
      </c>
      <c r="G5" s="14" t="s">
        <v>195</v>
      </c>
    </row>
    <row r="6" customFormat="false" ht="27.75" hidden="false" customHeight="true" outlineLevel="0" collapsed="false">
      <c r="B6" s="34" t="s">
        <v>59</v>
      </c>
      <c r="C6" s="34" t="s">
        <v>191</v>
      </c>
      <c r="D6" s="16" t="s">
        <v>196</v>
      </c>
      <c r="E6" s="16" t="s">
        <v>197</v>
      </c>
      <c r="F6" s="16" t="s">
        <v>198</v>
      </c>
      <c r="G6" s="16" t="s">
        <v>199</v>
      </c>
    </row>
    <row r="7" customFormat="false" ht="27.75" hidden="false" customHeight="true" outlineLevel="0" collapsed="false">
      <c r="B7" s="33" t="s">
        <v>59</v>
      </c>
      <c r="C7" s="33" t="s">
        <v>200</v>
      </c>
      <c r="D7" s="14" t="s">
        <v>201</v>
      </c>
      <c r="E7" s="14" t="s">
        <v>202</v>
      </c>
      <c r="F7" s="14" t="s">
        <v>203</v>
      </c>
      <c r="G7" s="14" t="s">
        <v>204</v>
      </c>
    </row>
    <row r="8" customFormat="false" ht="27.75" hidden="false" customHeight="true" outlineLevel="0" collapsed="false">
      <c r="B8" s="34" t="s">
        <v>73</v>
      </c>
      <c r="C8" s="34" t="s">
        <v>191</v>
      </c>
      <c r="D8" s="16" t="s">
        <v>205</v>
      </c>
      <c r="E8" s="16" t="s">
        <v>206</v>
      </c>
      <c r="F8" s="16" t="s">
        <v>207</v>
      </c>
      <c r="G8" s="16" t="s">
        <v>208</v>
      </c>
    </row>
    <row r="9" customFormat="false" ht="27.75" hidden="false" customHeight="true" outlineLevel="0" collapsed="false">
      <c r="B9" s="33" t="s">
        <v>73</v>
      </c>
      <c r="C9" s="33" t="s">
        <v>191</v>
      </c>
      <c r="D9" s="14" t="s">
        <v>209</v>
      </c>
      <c r="E9" s="14" t="s">
        <v>210</v>
      </c>
      <c r="F9" s="14" t="s">
        <v>198</v>
      </c>
      <c r="G9" s="14" t="s">
        <v>211</v>
      </c>
    </row>
    <row r="10" customFormat="false" ht="27.75" hidden="false" customHeight="true" outlineLevel="0" collapsed="false">
      <c r="B10" s="34" t="s">
        <v>73</v>
      </c>
      <c r="C10" s="34" t="s">
        <v>200</v>
      </c>
      <c r="D10" s="16" t="s">
        <v>212</v>
      </c>
      <c r="E10" s="16" t="s">
        <v>213</v>
      </c>
      <c r="F10" s="16" t="s">
        <v>214</v>
      </c>
      <c r="G10" s="16" t="s">
        <v>215</v>
      </c>
    </row>
    <row r="11" customFormat="false" ht="27.75" hidden="false" customHeight="true" outlineLevel="0" collapsed="false">
      <c r="B11" s="33" t="s">
        <v>83</v>
      </c>
      <c r="C11" s="33" t="s">
        <v>191</v>
      </c>
      <c r="D11" s="14" t="s">
        <v>216</v>
      </c>
      <c r="E11" s="14" t="s">
        <v>217</v>
      </c>
      <c r="F11" s="14" t="s">
        <v>218</v>
      </c>
      <c r="G11" s="14" t="s">
        <v>219</v>
      </c>
    </row>
    <row r="12" customFormat="false" ht="27.75" hidden="false" customHeight="true" outlineLevel="0" collapsed="false">
      <c r="B12" s="34" t="s">
        <v>83</v>
      </c>
      <c r="C12" s="34" t="s">
        <v>191</v>
      </c>
      <c r="D12" s="16" t="s">
        <v>220</v>
      </c>
      <c r="E12" s="16" t="s">
        <v>221</v>
      </c>
      <c r="F12" s="16" t="s">
        <v>222</v>
      </c>
      <c r="G12" s="16" t="s">
        <v>223</v>
      </c>
    </row>
    <row r="13" customFormat="false" ht="27.75" hidden="false" customHeight="true" outlineLevel="0" collapsed="false">
      <c r="B13" s="33" t="s">
        <v>83</v>
      </c>
      <c r="C13" s="33" t="s">
        <v>200</v>
      </c>
      <c r="D13" s="14" t="s">
        <v>224</v>
      </c>
      <c r="E13" s="14" t="s">
        <v>225</v>
      </c>
      <c r="F13" s="14" t="s">
        <v>203</v>
      </c>
      <c r="G13" s="14" t="s">
        <v>226</v>
      </c>
    </row>
    <row r="14" customFormat="false" ht="27.75" hidden="false" customHeight="true" outlineLevel="0" collapsed="false">
      <c r="B14" s="34" t="s">
        <v>91</v>
      </c>
      <c r="C14" s="34" t="s">
        <v>191</v>
      </c>
      <c r="D14" s="16" t="s">
        <v>227</v>
      </c>
      <c r="E14" s="16" t="s">
        <v>228</v>
      </c>
      <c r="F14" s="16" t="s">
        <v>207</v>
      </c>
      <c r="G14" s="16" t="s">
        <v>229</v>
      </c>
    </row>
    <row r="15" customFormat="false" ht="27.75" hidden="false" customHeight="true" outlineLevel="0" collapsed="false">
      <c r="B15" s="33" t="s">
        <v>91</v>
      </c>
      <c r="C15" s="33" t="s">
        <v>191</v>
      </c>
      <c r="D15" s="14" t="s">
        <v>230</v>
      </c>
      <c r="E15" s="14" t="s">
        <v>197</v>
      </c>
      <c r="F15" s="14" t="s">
        <v>231</v>
      </c>
      <c r="G15" s="14" t="s">
        <v>232</v>
      </c>
    </row>
    <row r="16" customFormat="false" ht="27.75" hidden="false" customHeight="true" outlineLevel="0" collapsed="false">
      <c r="B16" s="34" t="s">
        <v>91</v>
      </c>
      <c r="C16" s="34" t="s">
        <v>200</v>
      </c>
      <c r="D16" s="16" t="s">
        <v>233</v>
      </c>
      <c r="E16" s="16" t="s">
        <v>234</v>
      </c>
      <c r="F16" s="16" t="s">
        <v>235</v>
      </c>
      <c r="G16" s="16" t="s">
        <v>236</v>
      </c>
    </row>
    <row r="17" customFormat="false" ht="27.75" hidden="false" customHeight="true" outlineLevel="0" collapsed="false">
      <c r="B17" s="33" t="s">
        <v>237</v>
      </c>
      <c r="C17" s="33" t="s">
        <v>191</v>
      </c>
      <c r="D17" s="14" t="s">
        <v>238</v>
      </c>
      <c r="E17" s="14" t="s">
        <v>239</v>
      </c>
      <c r="F17" s="14" t="s">
        <v>240</v>
      </c>
      <c r="G17" s="14" t="s">
        <v>241</v>
      </c>
    </row>
    <row r="18" customFormat="false" ht="27.75" hidden="false" customHeight="true" outlineLevel="0" collapsed="false">
      <c r="B18" s="34" t="s">
        <v>237</v>
      </c>
      <c r="C18" s="34" t="s">
        <v>200</v>
      </c>
      <c r="D18" s="16" t="s">
        <v>242</v>
      </c>
      <c r="E18" s="16" t="s">
        <v>243</v>
      </c>
      <c r="F18" s="16" t="s">
        <v>244</v>
      </c>
      <c r="G18" s="16" t="s">
        <v>245</v>
      </c>
    </row>
    <row r="19" customFormat="false" ht="27.75" hidden="false" customHeight="true" outlineLevel="0" collapsed="false">
      <c r="B19" s="33" t="s">
        <v>246</v>
      </c>
      <c r="C19" s="33" t="s">
        <v>191</v>
      </c>
      <c r="D19" s="14" t="s">
        <v>247</v>
      </c>
      <c r="E19" s="14" t="s">
        <v>248</v>
      </c>
      <c r="F19" s="14" t="s">
        <v>249</v>
      </c>
      <c r="G19" s="14" t="s">
        <v>250</v>
      </c>
    </row>
    <row r="20" customFormat="false" ht="27.75" hidden="false" customHeight="true" outlineLevel="0" collapsed="false">
      <c r="B20" s="34" t="s">
        <v>246</v>
      </c>
      <c r="C20" s="34" t="s">
        <v>200</v>
      </c>
      <c r="D20" s="16" t="s">
        <v>251</v>
      </c>
      <c r="E20" s="16" t="s">
        <v>252</v>
      </c>
      <c r="F20" s="16" t="s">
        <v>253</v>
      </c>
      <c r="G20" s="16" t="s">
        <v>254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B2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35"/>
    <col collapsed="false" customWidth="true" hidden="false" outlineLevel="0" max="4" min="4" style="0" width="25"/>
    <col collapsed="false" customWidth="true" hidden="false" outlineLevel="0" max="5" min="5" style="0" width="20"/>
    <col collapsed="false" customWidth="true" hidden="false" outlineLevel="0" max="6" min="6" style="0" width="3"/>
  </cols>
  <sheetData>
    <row r="2" customFormat="false" ht="22.05" hidden="false" customHeight="false" outlineLevel="0" collapsed="false">
      <c r="B2" s="23" t="s">
        <v>255</v>
      </c>
      <c r="C2" s="23"/>
      <c r="D2" s="23"/>
      <c r="E2" s="23"/>
    </row>
    <row r="4" customFormat="false" ht="15" hidden="false" customHeight="false" outlineLevel="0" collapsed="false">
      <c r="B4" s="17" t="s">
        <v>256</v>
      </c>
      <c r="C4" s="17" t="s">
        <v>257</v>
      </c>
      <c r="D4" s="17" t="s">
        <v>258</v>
      </c>
      <c r="E4" s="17" t="s">
        <v>259</v>
      </c>
    </row>
    <row r="5" customFormat="false" ht="79.5" hidden="false" customHeight="true" outlineLevel="0" collapsed="false">
      <c r="B5" s="14" t="s">
        <v>260</v>
      </c>
      <c r="C5" s="14" t="s">
        <v>261</v>
      </c>
      <c r="D5" s="14" t="s">
        <v>262</v>
      </c>
      <c r="E5" s="14" t="s">
        <v>263</v>
      </c>
    </row>
    <row r="6" customFormat="false" ht="79.5" hidden="false" customHeight="true" outlineLevel="0" collapsed="false">
      <c r="B6" s="16" t="s">
        <v>264</v>
      </c>
      <c r="C6" s="16" t="s">
        <v>265</v>
      </c>
      <c r="D6" s="16" t="s">
        <v>266</v>
      </c>
      <c r="E6" s="16" t="s">
        <v>267</v>
      </c>
    </row>
    <row r="7" customFormat="false" ht="79.5" hidden="false" customHeight="true" outlineLevel="0" collapsed="false">
      <c r="B7" s="14" t="s">
        <v>268</v>
      </c>
      <c r="C7" s="14" t="s">
        <v>269</v>
      </c>
      <c r="D7" s="14" t="s">
        <v>270</v>
      </c>
      <c r="E7" s="14" t="s">
        <v>271</v>
      </c>
    </row>
    <row r="8" customFormat="false" ht="79.5" hidden="false" customHeight="true" outlineLevel="0" collapsed="false">
      <c r="B8" s="16" t="s">
        <v>165</v>
      </c>
      <c r="C8" s="16" t="s">
        <v>272</v>
      </c>
      <c r="D8" s="16" t="s">
        <v>273</v>
      </c>
      <c r="E8" s="16" t="s">
        <v>274</v>
      </c>
    </row>
    <row r="9" customFormat="false" ht="79.5" hidden="false" customHeight="true" outlineLevel="0" collapsed="false">
      <c r="B9" s="14" t="s">
        <v>275</v>
      </c>
      <c r="C9" s="14" t="s">
        <v>276</v>
      </c>
      <c r="D9" s="14" t="s">
        <v>277</v>
      </c>
      <c r="E9" s="14" t="s">
        <v>278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2026-03-31T13:17:43Z</dcterms:created>
  <dc:creator>openpyxl</dc:creator>
  <dc:description/>
  <dc:language>en-US</dc:language>
  <cp:lastModifiedBy/>
  <dcterms:modified xsi:type="dcterms:W3CDTF">2026-03-31T13:17:43Z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